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HardwareDesign\仓储管理\"/>
    </mc:Choice>
  </mc:AlternateContent>
  <xr:revisionPtr revIDLastSave="0" documentId="13_ncr:1_{CE3F95DA-A0D1-488C-B1ED-85470CBE1B02}" xr6:coauthVersionLast="45" xr6:coauthVersionMax="45" xr10:uidLastSave="{00000000-0000-0000-0000-000000000000}"/>
  <bookViews>
    <workbookView xWindow="-120" yWindow="-120" windowWidth="38640" windowHeight="21390" activeTab="1" xr2:uid="{5FBB9FB7-96A6-43AC-A7FA-CFDEB4BE8CD2}"/>
  </bookViews>
  <sheets>
    <sheet name="库存查询表" sheetId="5" r:id="rId1"/>
    <sheet name="现有库存表" sheetId="1" r:id="rId2"/>
    <sheet name="入库序列" sheetId="4" r:id="rId3"/>
    <sheet name="出库序列" sheetId="3" r:id="rId4"/>
  </sheets>
  <definedNames>
    <definedName name="_xlnm._FilterDatabase" localSheetId="1" hidden="1">现有库存表!$A:$P</definedName>
    <definedName name="_xlnm.Criteria" localSheetId="0">库存查询表!$A$1:$P$2</definedName>
    <definedName name="_xlnm.Extract" localSheetId="0">库存查询表!$A$5:$P$5</definedName>
    <definedName name="_xlnm.Extract" localSheetId="1">现有库存表!$Q$14:$AF$14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" i="1" l="1"/>
  <c r="L3" i="1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2" i="1"/>
  <c r="O2" i="1" l="1"/>
  <c r="O3" i="1"/>
  <c r="L4" i="1"/>
  <c r="O4" i="1" s="1"/>
  <c r="L5" i="1"/>
  <c r="O5" i="1" s="1"/>
  <c r="L6" i="1"/>
  <c r="O6" i="1" s="1"/>
  <c r="L7" i="1"/>
  <c r="O7" i="1" s="1"/>
  <c r="L8" i="1"/>
  <c r="O8" i="1" s="1"/>
  <c r="L9" i="1"/>
  <c r="O9" i="1" s="1"/>
  <c r="L10" i="1"/>
  <c r="O10" i="1" s="1"/>
  <c r="L11" i="1"/>
  <c r="O11" i="1" s="1"/>
  <c r="L12" i="1"/>
  <c r="O12" i="1" s="1"/>
  <c r="L13" i="1"/>
  <c r="O13" i="1" s="1"/>
  <c r="L14" i="1"/>
  <c r="O14" i="1" s="1"/>
  <c r="L15" i="1"/>
  <c r="O15" i="1" s="1"/>
  <c r="L16" i="1"/>
  <c r="O16" i="1" s="1"/>
  <c r="L17" i="1"/>
  <c r="O17" i="1" s="1"/>
  <c r="L18" i="1"/>
  <c r="O18" i="1" s="1"/>
  <c r="L19" i="1"/>
  <c r="O19" i="1" s="1"/>
  <c r="L20" i="1"/>
  <c r="O20" i="1" s="1"/>
  <c r="L21" i="1"/>
  <c r="O21" i="1" s="1"/>
  <c r="L22" i="1"/>
  <c r="O22" i="1" s="1"/>
  <c r="L23" i="1"/>
  <c r="O23" i="1" s="1"/>
  <c r="L24" i="1"/>
  <c r="O24" i="1" s="1"/>
  <c r="L25" i="1"/>
  <c r="O25" i="1" s="1"/>
  <c r="L26" i="1"/>
  <c r="O26" i="1" s="1"/>
  <c r="L27" i="1"/>
  <c r="O27" i="1" s="1"/>
  <c r="L28" i="1"/>
  <c r="O28" i="1" s="1"/>
  <c r="L29" i="1"/>
  <c r="O29" i="1" s="1"/>
  <c r="L30" i="1"/>
  <c r="O30" i="1" s="1"/>
  <c r="L31" i="1"/>
  <c r="O31" i="1" s="1"/>
  <c r="L32" i="1"/>
  <c r="O32" i="1" s="1"/>
  <c r="L33" i="1"/>
  <c r="O33" i="1" s="1"/>
  <c r="L34" i="1"/>
  <c r="O34" i="1" s="1"/>
  <c r="L35" i="1"/>
  <c r="O35" i="1" s="1"/>
  <c r="L36" i="1"/>
  <c r="O36" i="1" s="1"/>
  <c r="L37" i="1"/>
  <c r="O37" i="1" s="1"/>
  <c r="L38" i="1"/>
  <c r="O38" i="1" s="1"/>
  <c r="L39" i="1"/>
  <c r="O39" i="1" s="1"/>
  <c r="L40" i="1"/>
  <c r="O40" i="1" s="1"/>
  <c r="L41" i="1"/>
  <c r="O41" i="1" s="1"/>
  <c r="L42" i="1"/>
  <c r="O42" i="1" s="1"/>
  <c r="L43" i="1"/>
  <c r="O43" i="1" s="1"/>
  <c r="L44" i="1"/>
  <c r="O44" i="1" s="1"/>
  <c r="G117" i="4" l="1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</calcChain>
</file>

<file path=xl/sharedStrings.xml><?xml version="1.0" encoding="utf-8"?>
<sst xmlns="http://schemas.openxmlformats.org/spreadsheetml/2006/main" count="612" uniqueCount="227">
  <si>
    <t>编号</t>
    <phoneticPr fontId="1" type="noConversion"/>
  </si>
  <si>
    <t>品名</t>
    <phoneticPr fontId="1" type="noConversion"/>
  </si>
  <si>
    <t>销售商</t>
    <phoneticPr fontId="1" type="noConversion"/>
  </si>
  <si>
    <t>制造商</t>
    <phoneticPr fontId="1" type="noConversion"/>
  </si>
  <si>
    <t>销售商编号</t>
    <phoneticPr fontId="1" type="noConversion"/>
  </si>
  <si>
    <t>制造商编号</t>
    <phoneticPr fontId="1" type="noConversion"/>
  </si>
  <si>
    <t>现存数量</t>
    <phoneticPr fontId="1" type="noConversion"/>
  </si>
  <si>
    <t>单价</t>
    <phoneticPr fontId="1" type="noConversion"/>
  </si>
  <si>
    <t>总价</t>
    <phoneticPr fontId="1" type="noConversion"/>
  </si>
  <si>
    <t>入库序列编号</t>
    <phoneticPr fontId="1" type="noConversion"/>
  </si>
  <si>
    <t>入库数量</t>
    <phoneticPr fontId="1" type="noConversion"/>
  </si>
  <si>
    <t>入库时间</t>
    <phoneticPr fontId="1" type="noConversion"/>
  </si>
  <si>
    <t>出库时间</t>
    <phoneticPr fontId="1" type="noConversion"/>
  </si>
  <si>
    <t>仓库代号</t>
    <phoneticPr fontId="1" type="noConversion"/>
  </si>
  <si>
    <t>M4*36接线柱(黑色)</t>
    <phoneticPr fontId="1" type="noConversion"/>
  </si>
  <si>
    <t>单位</t>
    <phoneticPr fontId="1" type="noConversion"/>
  </si>
  <si>
    <t>个</t>
    <phoneticPr fontId="1" type="noConversion"/>
  </si>
  <si>
    <t>Home3</t>
  </si>
  <si>
    <t>Home3</t>
    <phoneticPr fontId="1" type="noConversion"/>
  </si>
  <si>
    <t>M4*36接线柱(红色)</t>
    <phoneticPr fontId="1" type="noConversion"/>
  </si>
  <si>
    <t>DC-005插座/5.5-2.1</t>
    <phoneticPr fontId="1" type="noConversion"/>
  </si>
  <si>
    <t>EC11-梅花柄-20mm</t>
    <phoneticPr fontId="1" type="noConversion"/>
  </si>
  <si>
    <t>EC11-半月柄-20mm</t>
    <phoneticPr fontId="1" type="noConversion"/>
  </si>
  <si>
    <t>M3*8+4六角铜柱</t>
    <phoneticPr fontId="1" type="noConversion"/>
  </si>
  <si>
    <t>制造商简写</t>
    <phoneticPr fontId="1" type="noConversion"/>
  </si>
  <si>
    <t>销售商简写</t>
    <phoneticPr fontId="1" type="noConversion"/>
  </si>
  <si>
    <t>yx</t>
    <phoneticPr fontId="1" type="noConversion"/>
  </si>
  <si>
    <t>lc</t>
    <phoneticPr fontId="1" type="noConversion"/>
  </si>
  <si>
    <t>C551321</t>
    <phoneticPr fontId="1" type="noConversion"/>
  </si>
  <si>
    <t>Home1</t>
  </si>
  <si>
    <t>Home1</t>
    <phoneticPr fontId="1" type="noConversion"/>
  </si>
  <si>
    <t>DB107S</t>
    <phoneticPr fontId="1" type="noConversion"/>
  </si>
  <si>
    <t>品类</t>
    <phoneticPr fontId="1" type="noConversion"/>
  </si>
  <si>
    <t>品类简写</t>
    <phoneticPr fontId="1" type="noConversion"/>
  </si>
  <si>
    <t>ljq</t>
    <phoneticPr fontId="1" type="noConversion"/>
  </si>
  <si>
    <t>wj</t>
    <phoneticPr fontId="1" type="noConversion"/>
  </si>
  <si>
    <t>jd</t>
    <phoneticPr fontId="1" type="noConversion"/>
  </si>
  <si>
    <t>zlq</t>
    <phoneticPr fontId="1" type="noConversion"/>
  </si>
  <si>
    <t>C110218</t>
    <phoneticPr fontId="1" type="noConversion"/>
  </si>
  <si>
    <t>8MHz,10ppm</t>
    <phoneticPr fontId="1" type="noConversion"/>
  </si>
  <si>
    <t>封装</t>
    <phoneticPr fontId="1" type="noConversion"/>
  </si>
  <si>
    <t>M3</t>
    <phoneticPr fontId="1" type="noConversion"/>
  </si>
  <si>
    <t>DBS</t>
    <phoneticPr fontId="1" type="noConversion"/>
  </si>
  <si>
    <t>HC-49s</t>
    <phoneticPr fontId="1" type="noConversion"/>
  </si>
  <si>
    <t>晶振</t>
    <phoneticPr fontId="1" type="noConversion"/>
  </si>
  <si>
    <t>C280060</t>
    <phoneticPr fontId="1" type="noConversion"/>
  </si>
  <si>
    <t>miniPCI-E,插槽,5.2mm</t>
    <phoneticPr fontId="1" type="noConversion"/>
  </si>
  <si>
    <t>SMD</t>
    <phoneticPr fontId="1" type="noConversion"/>
  </si>
  <si>
    <t>C16250</t>
    <phoneticPr fontId="1" type="noConversion"/>
  </si>
  <si>
    <t>MX1.25*4</t>
    <phoneticPr fontId="1" type="noConversion"/>
  </si>
  <si>
    <t>插针</t>
    <phoneticPr fontId="1" type="noConversion"/>
  </si>
  <si>
    <t>C225092</t>
    <phoneticPr fontId="1" type="noConversion"/>
  </si>
  <si>
    <t>MX1.25*6</t>
    <phoneticPr fontId="1" type="noConversion"/>
  </si>
  <si>
    <t>C225094</t>
    <phoneticPr fontId="1" type="noConversion"/>
  </si>
  <si>
    <t>翠绿LED</t>
    <phoneticPr fontId="1" type="noConversion"/>
  </si>
  <si>
    <t>LED</t>
    <phoneticPr fontId="1" type="noConversion"/>
  </si>
  <si>
    <t>C205443</t>
    <phoneticPr fontId="1" type="noConversion"/>
  </si>
  <si>
    <t>M3*20+6六角铜柱</t>
    <phoneticPr fontId="1" type="noConversion"/>
  </si>
  <si>
    <t>C47309</t>
    <phoneticPr fontId="1" type="noConversion"/>
  </si>
  <si>
    <t>0603</t>
    <phoneticPr fontId="1" type="noConversion"/>
  </si>
  <si>
    <t>M3*10+6六角铜柱</t>
    <phoneticPr fontId="1" type="noConversion"/>
  </si>
  <si>
    <t>C551322</t>
    <phoneticPr fontId="1" type="noConversion"/>
  </si>
  <si>
    <t>M3*6+4六角铜柱</t>
    <phoneticPr fontId="1" type="noConversion"/>
  </si>
  <si>
    <t>C551320</t>
    <phoneticPr fontId="1" type="noConversion"/>
  </si>
  <si>
    <t>1p拨码开关</t>
    <phoneticPr fontId="1" type="noConversion"/>
  </si>
  <si>
    <t>DIP</t>
    <phoneticPr fontId="1" type="noConversion"/>
  </si>
  <si>
    <t>C47086</t>
    <phoneticPr fontId="1" type="noConversion"/>
  </si>
  <si>
    <t>Home2</t>
  </si>
  <si>
    <t>2.54mm IDC线 10P</t>
    <phoneticPr fontId="1" type="noConversion"/>
  </si>
  <si>
    <t>C220954</t>
    <phoneticPr fontId="1" type="noConversion"/>
  </si>
  <si>
    <t>根</t>
    <phoneticPr fontId="1" type="noConversion"/>
  </si>
  <si>
    <t>Home2</t>
    <phoneticPr fontId="1" type="noConversion"/>
  </si>
  <si>
    <t>CJ7805</t>
    <phoneticPr fontId="1" type="noConversion"/>
  </si>
  <si>
    <t>TO-220</t>
    <phoneticPr fontId="1" type="noConversion"/>
  </si>
  <si>
    <t>LDO</t>
    <phoneticPr fontId="1" type="noConversion"/>
  </si>
  <si>
    <t>C77895</t>
    <phoneticPr fontId="1" type="noConversion"/>
  </si>
  <si>
    <t>VH3.96*4P</t>
    <phoneticPr fontId="1" type="noConversion"/>
  </si>
  <si>
    <t>P=3.96</t>
    <phoneticPr fontId="1" type="noConversion"/>
  </si>
  <si>
    <t>C388789</t>
    <phoneticPr fontId="1" type="noConversion"/>
  </si>
  <si>
    <t>1N4148</t>
    <phoneticPr fontId="1" type="noConversion"/>
  </si>
  <si>
    <t>SOD-323</t>
    <phoneticPr fontId="1" type="noConversion"/>
  </si>
  <si>
    <t>C181133</t>
    <phoneticPr fontId="1" type="noConversion"/>
  </si>
  <si>
    <t>开关二极管</t>
    <phoneticPr fontId="1" type="noConversion"/>
  </si>
  <si>
    <t>100uF 25V</t>
    <phoneticPr fontId="1" type="noConversion"/>
  </si>
  <si>
    <t>SMD,6.3*5.9mm</t>
    <phoneticPr fontId="1" type="noConversion"/>
  </si>
  <si>
    <t>固态电解电容</t>
    <phoneticPr fontId="1" type="noConversion"/>
  </si>
  <si>
    <t>C164071</t>
    <phoneticPr fontId="1" type="noConversion"/>
  </si>
  <si>
    <t>AMS1117-2.5</t>
    <phoneticPr fontId="1" type="noConversion"/>
  </si>
  <si>
    <t>SOT-223</t>
    <phoneticPr fontId="1" type="noConversion"/>
  </si>
  <si>
    <t>C347221</t>
    <phoneticPr fontId="1" type="noConversion"/>
  </si>
  <si>
    <t>6*6*6微动开关</t>
    <phoneticPr fontId="1" type="noConversion"/>
  </si>
  <si>
    <t>C557621</t>
    <phoneticPr fontId="1" type="noConversion"/>
  </si>
  <si>
    <t>自锁8.5*8.5</t>
    <phoneticPr fontId="1" type="noConversion"/>
  </si>
  <si>
    <t>C194405</t>
    <phoneticPr fontId="1" type="noConversion"/>
  </si>
  <si>
    <t>2.54mm IDC座 10P</t>
    <phoneticPr fontId="1" type="noConversion"/>
  </si>
  <si>
    <t>深圳盛鑫荣电子</t>
    <phoneticPr fontId="1" type="noConversion"/>
  </si>
  <si>
    <t>MX1.25*4连接线</t>
    <phoneticPr fontId="1" type="noConversion"/>
  </si>
  <si>
    <t>MX1.25*6连接线</t>
    <phoneticPr fontId="1" type="noConversion"/>
  </si>
  <si>
    <t>3*6螺丝</t>
    <phoneticPr fontId="1" type="noConversion"/>
  </si>
  <si>
    <t>C50053</t>
    <phoneticPr fontId="1" type="noConversion"/>
  </si>
  <si>
    <t>Home5</t>
    <phoneticPr fontId="1" type="noConversion"/>
  </si>
  <si>
    <t>M3螺母</t>
    <phoneticPr fontId="1" type="noConversion"/>
  </si>
  <si>
    <t>C357432</t>
    <phoneticPr fontId="1" type="noConversion"/>
  </si>
  <si>
    <t>miniPCIe连接螺丝</t>
    <phoneticPr fontId="1" type="noConversion"/>
  </si>
  <si>
    <t>胜勋旗舰店</t>
    <phoneticPr fontId="1" type="noConversion"/>
  </si>
  <si>
    <t>套</t>
    <phoneticPr fontId="1" type="noConversion"/>
  </si>
  <si>
    <t>FPC 1.0 10P 线</t>
    <phoneticPr fontId="1" type="noConversion"/>
  </si>
  <si>
    <t>40cm</t>
    <phoneticPr fontId="1" type="noConversion"/>
  </si>
  <si>
    <t>迪文科技</t>
    <phoneticPr fontId="1" type="noConversion"/>
  </si>
  <si>
    <t>Home5</t>
  </si>
  <si>
    <t>FPC 1.0 10P 座</t>
    <phoneticPr fontId="1" type="noConversion"/>
  </si>
  <si>
    <t>仓储编号</t>
    <phoneticPr fontId="1" type="noConversion"/>
  </si>
  <si>
    <t>出库序列编号</t>
  </si>
  <si>
    <t>出库数量</t>
  </si>
  <si>
    <t>出库理由</t>
    <phoneticPr fontId="1" type="noConversion"/>
  </si>
  <si>
    <t>在上面的单元格中输入相关关键词,注意通配符,之后回车即可进行查找</t>
    <phoneticPr fontId="1" type="noConversion"/>
  </si>
  <si>
    <t>LT8650s</t>
    <phoneticPr fontId="1" type="noConversion"/>
  </si>
  <si>
    <t>Silent Switcher</t>
    <phoneticPr fontId="1" type="noConversion"/>
  </si>
  <si>
    <t>亚德诺半导体</t>
    <phoneticPr fontId="1" type="noConversion"/>
  </si>
  <si>
    <t>ADI</t>
    <phoneticPr fontId="1" type="noConversion"/>
  </si>
  <si>
    <t>片</t>
    <phoneticPr fontId="1" type="noConversion"/>
  </si>
  <si>
    <t>QFN/4 Thermal Pad</t>
    <phoneticPr fontId="1" type="noConversion"/>
  </si>
  <si>
    <t>LMG5200</t>
    <phoneticPr fontId="1" type="noConversion"/>
  </si>
  <si>
    <t>QFN</t>
    <phoneticPr fontId="1" type="noConversion"/>
  </si>
  <si>
    <t>GaN功率级</t>
    <phoneticPr fontId="1" type="noConversion"/>
  </si>
  <si>
    <t>Ti</t>
    <phoneticPr fontId="1" type="noConversion"/>
  </si>
  <si>
    <t>德州仪器</t>
    <phoneticPr fontId="1" type="noConversion"/>
  </si>
  <si>
    <t>LT6909</t>
    <phoneticPr fontId="1" type="noConversion"/>
  </si>
  <si>
    <t>SOP</t>
    <phoneticPr fontId="1" type="noConversion"/>
  </si>
  <si>
    <t>硅振荡器,支持扩频调制</t>
    <phoneticPr fontId="1" type="noConversion"/>
  </si>
  <si>
    <t>LTC6909</t>
    <phoneticPr fontId="1" type="noConversion"/>
  </si>
  <si>
    <t>TPS40056</t>
    <phoneticPr fontId="1" type="noConversion"/>
  </si>
  <si>
    <t>SOP宽体</t>
    <phoneticPr fontId="1" type="noConversion"/>
  </si>
  <si>
    <t>SyncBuck,VoltageMode,100KHz~1MHz</t>
    <phoneticPr fontId="1" type="noConversion"/>
  </si>
  <si>
    <t>IC Home</t>
    <phoneticPr fontId="1" type="noConversion"/>
  </si>
  <si>
    <t>5.5V 1F 超级电容</t>
    <phoneticPr fontId="1" type="noConversion"/>
  </si>
  <si>
    <t>Through Hole</t>
    <phoneticPr fontId="1" type="noConversion"/>
  </si>
  <si>
    <t>KAMCAP</t>
    <phoneticPr fontId="1" type="noConversion"/>
  </si>
  <si>
    <t>凯美电容</t>
    <phoneticPr fontId="1" type="noConversion"/>
  </si>
  <si>
    <t>个</t>
    <phoneticPr fontId="1" type="noConversion"/>
  </si>
  <si>
    <t>GS6002</t>
    <phoneticPr fontId="1" type="noConversion"/>
  </si>
  <si>
    <t>SOP-8</t>
    <phoneticPr fontId="1" type="noConversion"/>
  </si>
  <si>
    <t>低功耗运放</t>
    <phoneticPr fontId="1" type="noConversion"/>
  </si>
  <si>
    <t>Gainsil</t>
    <phoneticPr fontId="1" type="noConversion"/>
  </si>
  <si>
    <t>聚洵</t>
    <phoneticPr fontId="1" type="noConversion"/>
  </si>
  <si>
    <t>C157701</t>
    <phoneticPr fontId="1" type="noConversion"/>
  </si>
  <si>
    <t>C262274</t>
    <phoneticPr fontId="1" type="noConversion"/>
  </si>
  <si>
    <t>SE-5R5-D105VY</t>
    <phoneticPr fontId="1" type="noConversion"/>
  </si>
  <si>
    <t>GS6002-SR</t>
    <phoneticPr fontId="1" type="noConversion"/>
  </si>
  <si>
    <t>片</t>
    <phoneticPr fontId="1" type="noConversion"/>
  </si>
  <si>
    <t>LMV358</t>
    <phoneticPr fontId="1" type="noConversion"/>
  </si>
  <si>
    <t>低功耗,Rail2Rail,2CH,OPAMP,运放</t>
    <phoneticPr fontId="1" type="noConversion"/>
  </si>
  <si>
    <t>C362274</t>
    <phoneticPr fontId="1" type="noConversion"/>
  </si>
  <si>
    <t>LMV358-SR</t>
    <phoneticPr fontId="1" type="noConversion"/>
  </si>
  <si>
    <t>RS2252</t>
    <phoneticPr fontId="1" type="noConversion"/>
  </si>
  <si>
    <t>SOIC-16</t>
    <phoneticPr fontId="1" type="noConversion"/>
  </si>
  <si>
    <t>模拟开关</t>
    <phoneticPr fontId="1" type="noConversion"/>
  </si>
  <si>
    <t>润石</t>
    <phoneticPr fontId="1" type="noConversion"/>
  </si>
  <si>
    <t>RUNIC</t>
    <phoneticPr fontId="1" type="noConversion"/>
  </si>
  <si>
    <t>C255481</t>
    <phoneticPr fontId="1" type="noConversion"/>
  </si>
  <si>
    <t>RS2252XS16</t>
    <phoneticPr fontId="1" type="noConversion"/>
  </si>
  <si>
    <t>10uH</t>
    <phoneticPr fontId="1" type="noConversion"/>
  </si>
  <si>
    <t>1206</t>
    <phoneticPr fontId="1" type="noConversion"/>
  </si>
  <si>
    <t>贴片电感</t>
    <phoneticPr fontId="1" type="noConversion"/>
  </si>
  <si>
    <t>C139251</t>
    <phoneticPr fontId="1" type="noConversion"/>
  </si>
  <si>
    <t>FH</t>
    <phoneticPr fontId="1" type="noConversion"/>
  </si>
  <si>
    <t>风华</t>
    <phoneticPr fontId="1" type="noConversion"/>
  </si>
  <si>
    <t>CMP321609XD100KT</t>
    <phoneticPr fontId="1" type="noConversion"/>
  </si>
  <si>
    <t>RS624XP</t>
    <phoneticPr fontId="1" type="noConversion"/>
  </si>
  <si>
    <t>SOP-14</t>
    <phoneticPr fontId="1" type="noConversion"/>
  </si>
  <si>
    <t>低噪声运放</t>
    <phoneticPr fontId="1" type="noConversion"/>
  </si>
  <si>
    <t>C237014</t>
    <phoneticPr fontId="1" type="noConversion"/>
  </si>
  <si>
    <t>GD32F103C8T6</t>
    <phoneticPr fontId="1" type="noConversion"/>
  </si>
  <si>
    <t>QFP48</t>
    <phoneticPr fontId="1" type="noConversion"/>
  </si>
  <si>
    <t>RISC-V 微处理器</t>
    <phoneticPr fontId="1" type="noConversion"/>
  </si>
  <si>
    <t>GigaDevice</t>
    <phoneticPr fontId="1" type="noConversion"/>
  </si>
  <si>
    <t>兆易创新</t>
    <phoneticPr fontId="1" type="noConversion"/>
  </si>
  <si>
    <t>C77994</t>
    <phoneticPr fontId="1" type="noConversion"/>
  </si>
  <si>
    <t>深圳立创商城</t>
  </si>
  <si>
    <t>DAC8562</t>
    <phoneticPr fontId="1" type="noConversion"/>
  </si>
  <si>
    <t>SSOP-8</t>
    <phoneticPr fontId="1" type="noConversion"/>
  </si>
  <si>
    <t>片</t>
    <phoneticPr fontId="1" type="noConversion"/>
  </si>
  <si>
    <t>ADS1118</t>
    <phoneticPr fontId="1" type="noConversion"/>
  </si>
  <si>
    <t>SSOP-10</t>
    <phoneticPr fontId="1" type="noConversion"/>
  </si>
  <si>
    <t>16bitADC 4CH</t>
    <phoneticPr fontId="1" type="noConversion"/>
  </si>
  <si>
    <t>16bitDAC 2CH</t>
    <phoneticPr fontId="1" type="noConversion"/>
  </si>
  <si>
    <t>UCC27211</t>
    <phoneticPr fontId="1" type="noConversion"/>
  </si>
  <si>
    <t>半桥驱动器</t>
    <phoneticPr fontId="1" type="noConversion"/>
  </si>
  <si>
    <t>ADS1256</t>
    <phoneticPr fontId="1" type="noConversion"/>
  </si>
  <si>
    <t>TSSOP-16</t>
    <phoneticPr fontId="1" type="noConversion"/>
  </si>
  <si>
    <t>24bit ADC 4CH</t>
    <phoneticPr fontId="1" type="noConversion"/>
  </si>
  <si>
    <t>LM317</t>
    <phoneticPr fontId="1" type="noConversion"/>
  </si>
  <si>
    <t>线性稳压器</t>
    <phoneticPr fontId="1" type="noConversion"/>
  </si>
  <si>
    <t>ST</t>
    <phoneticPr fontId="1" type="noConversion"/>
  </si>
  <si>
    <t>意法半导体</t>
    <phoneticPr fontId="1" type="noConversion"/>
  </si>
  <si>
    <t>LM317T</t>
    <phoneticPr fontId="1" type="noConversion"/>
  </si>
  <si>
    <t>Home 6</t>
    <phoneticPr fontId="1" type="noConversion"/>
  </si>
  <si>
    <t>CSD18532</t>
    <phoneticPr fontId="1" type="noConversion"/>
  </si>
  <si>
    <t>高速开关MOS</t>
    <phoneticPr fontId="1" type="noConversion"/>
  </si>
  <si>
    <t>CSD18532KCS</t>
    <phoneticPr fontId="1" type="noConversion"/>
  </si>
  <si>
    <t>IRFP460</t>
    <phoneticPr fontId="1" type="noConversion"/>
  </si>
  <si>
    <t>TO-247</t>
    <phoneticPr fontId="1" type="noConversion"/>
  </si>
  <si>
    <t>高压高功率MOS</t>
    <phoneticPr fontId="1" type="noConversion"/>
  </si>
  <si>
    <t>IR</t>
    <phoneticPr fontId="1" type="noConversion"/>
  </si>
  <si>
    <t>国际整流器</t>
    <phoneticPr fontId="1" type="noConversion"/>
  </si>
  <si>
    <t>连接器</t>
  </si>
  <si>
    <t>深圳优信电子</t>
  </si>
  <si>
    <t>机电器件</t>
  </si>
  <si>
    <t>五金</t>
  </si>
  <si>
    <t>整流桥</t>
  </si>
  <si>
    <t>LDO</t>
    <phoneticPr fontId="1" type="noConversion"/>
  </si>
  <si>
    <t>AMS1117-2.5</t>
    <phoneticPr fontId="1" type="noConversion"/>
  </si>
  <si>
    <t>SOT-223</t>
    <phoneticPr fontId="1" type="noConversion"/>
  </si>
  <si>
    <t>线性稳压器</t>
    <phoneticPr fontId="1" type="noConversion"/>
  </si>
  <si>
    <t>lc</t>
    <phoneticPr fontId="1" type="noConversion"/>
  </si>
  <si>
    <t>AMS1117-3.3</t>
    <phoneticPr fontId="1" type="noConversion"/>
  </si>
  <si>
    <t>CJ7805</t>
    <phoneticPr fontId="1" type="noConversion"/>
  </si>
  <si>
    <t>TO-220</t>
  </si>
  <si>
    <t>TO-220</t>
    <phoneticPr fontId="1" type="noConversion"/>
  </si>
  <si>
    <t>LM317T</t>
    <phoneticPr fontId="1" type="noConversion"/>
  </si>
  <si>
    <t>KA7906</t>
    <phoneticPr fontId="1" type="noConversion"/>
  </si>
  <si>
    <t>LM7815</t>
    <phoneticPr fontId="1" type="noConversion"/>
  </si>
  <si>
    <t>LM7812</t>
    <phoneticPr fontId="1" type="noConversion"/>
  </si>
  <si>
    <t>LM7912</t>
    <phoneticPr fontId="1" type="noConversion"/>
  </si>
  <si>
    <t>LM337</t>
    <phoneticPr fontId="1" type="noConversion"/>
  </si>
  <si>
    <t>78M12</t>
    <phoneticPr fontId="1" type="noConversion"/>
  </si>
  <si>
    <t>TO-252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</si>
</sst>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¥&quot;#,##0.00;&quot;¥&quot;\-#,##0.00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31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FAB2C-FC24-4D8A-8FA7-227DB82966D8}">
  <sheetPr codeName="Sheet1"/>
  <dimension ref="A1:P121"/>
  <sheetViews>
    <sheetView zoomScale="130" zoomScaleNormal="130" workbookViewId="0">
      <selection activeCell="B31" sqref="B31"/>
    </sheetView>
  </sheetViews>
  <sheetFormatPr defaultRowHeight="14.25" x14ac:dyDescent="0.2"/>
  <cols>
    <col min="1" max="1" width="11.375" customWidth="1"/>
    <col min="2" max="2" width="16.125" customWidth="1"/>
    <col min="4" max="4" width="13.875" customWidth="1"/>
    <col min="6" max="6" width="11.625" customWidth="1"/>
    <col min="7" max="7" width="14.625" customWidth="1"/>
    <col min="8" max="8" width="15.75" hidden="1" customWidth="1"/>
    <col min="9" max="9" width="13.125" hidden="1" customWidth="1"/>
    <col min="10" max="10" width="11.25" customWidth="1"/>
    <col min="11" max="11" width="10.875" customWidth="1"/>
  </cols>
  <sheetData>
    <row r="1" spans="1:16" x14ac:dyDescent="0.2">
      <c r="A1" t="s">
        <v>0</v>
      </c>
      <c r="B1" t="s">
        <v>1</v>
      </c>
      <c r="C1" s="3" t="s">
        <v>40</v>
      </c>
      <c r="D1" t="s">
        <v>33</v>
      </c>
      <c r="E1" t="s">
        <v>32</v>
      </c>
      <c r="F1" t="s">
        <v>25</v>
      </c>
      <c r="G1" t="s">
        <v>2</v>
      </c>
      <c r="H1" t="s">
        <v>24</v>
      </c>
      <c r="I1" t="s">
        <v>3</v>
      </c>
      <c r="J1" s="2" t="s">
        <v>4</v>
      </c>
      <c r="K1" t="s">
        <v>5</v>
      </c>
      <c r="L1" t="s">
        <v>6</v>
      </c>
      <c r="M1" t="s">
        <v>15</v>
      </c>
      <c r="N1" s="1" t="s">
        <v>7</v>
      </c>
      <c r="O1" t="s">
        <v>8</v>
      </c>
      <c r="P1" t="s">
        <v>13</v>
      </c>
    </row>
    <row r="3" spans="1:16" x14ac:dyDescent="0.2">
      <c r="A3" s="5" t="s">
        <v>115</v>
      </c>
      <c r="B3" s="5"/>
      <c r="C3" s="5"/>
      <c r="D3" s="5"/>
      <c r="E3" s="5"/>
      <c r="J3" s="2"/>
      <c r="N3" s="1"/>
    </row>
    <row r="5" spans="1:16" x14ac:dyDescent="0.2">
      <c r="A5" t="s">
        <v>0</v>
      </c>
      <c r="B5" t="s">
        <v>1</v>
      </c>
      <c r="C5" s="3" t="s">
        <v>40</v>
      </c>
      <c r="D5" t="s">
        <v>33</v>
      </c>
      <c r="E5" t="s">
        <v>32</v>
      </c>
      <c r="F5" t="s">
        <v>25</v>
      </c>
      <c r="G5" t="s">
        <v>2</v>
      </c>
      <c r="H5" t="s">
        <v>24</v>
      </c>
      <c r="I5" t="s">
        <v>3</v>
      </c>
      <c r="J5" s="2" t="s">
        <v>4</v>
      </c>
      <c r="K5" t="s">
        <v>5</v>
      </c>
      <c r="L5" t="s">
        <v>6</v>
      </c>
      <c r="M5" t="s">
        <v>15</v>
      </c>
      <c r="N5" s="1" t="s">
        <v>7</v>
      </c>
      <c r="O5" t="s">
        <v>8</v>
      </c>
      <c r="P5" t="s">
        <v>13</v>
      </c>
    </row>
    <row r="6" spans="1:16" x14ac:dyDescent="0.2">
      <c r="A6">
        <v>1</v>
      </c>
      <c r="B6" t="s">
        <v>14</v>
      </c>
      <c r="C6" s="3"/>
      <c r="D6" t="s">
        <v>34</v>
      </c>
      <c r="E6" t="s">
        <v>205</v>
      </c>
      <c r="F6" t="s">
        <v>26</v>
      </c>
      <c r="G6" t="s">
        <v>206</v>
      </c>
      <c r="J6" s="2">
        <v>71329</v>
      </c>
      <c r="L6">
        <v>2</v>
      </c>
      <c r="M6" t="s">
        <v>16</v>
      </c>
      <c r="N6" s="1">
        <v>1.9</v>
      </c>
      <c r="O6" s="1">
        <v>3.8</v>
      </c>
      <c r="P6" t="s">
        <v>18</v>
      </c>
    </row>
    <row r="7" spans="1:16" x14ac:dyDescent="0.2">
      <c r="A7">
        <v>2</v>
      </c>
      <c r="B7" t="s">
        <v>19</v>
      </c>
      <c r="C7" s="3"/>
      <c r="D7" t="s">
        <v>34</v>
      </c>
      <c r="E7" t="s">
        <v>205</v>
      </c>
      <c r="F7" t="s">
        <v>26</v>
      </c>
      <c r="G7" t="s">
        <v>206</v>
      </c>
      <c r="J7" s="2">
        <v>71330</v>
      </c>
      <c r="L7">
        <v>2</v>
      </c>
      <c r="M7" t="s">
        <v>16</v>
      </c>
      <c r="N7" s="1">
        <v>1.9</v>
      </c>
      <c r="O7" s="1">
        <v>3.8</v>
      </c>
      <c r="P7" t="s">
        <v>18</v>
      </c>
    </row>
    <row r="8" spans="1:16" x14ac:dyDescent="0.2">
      <c r="A8">
        <v>3</v>
      </c>
      <c r="B8" t="s">
        <v>20</v>
      </c>
      <c r="C8" s="3"/>
      <c r="D8" t="s">
        <v>34</v>
      </c>
      <c r="E8" t="s">
        <v>205</v>
      </c>
      <c r="F8" t="s">
        <v>26</v>
      </c>
      <c r="G8" t="s">
        <v>206</v>
      </c>
      <c r="J8" s="2">
        <v>52342</v>
      </c>
      <c r="L8">
        <v>2</v>
      </c>
      <c r="M8" t="s">
        <v>16</v>
      </c>
      <c r="N8" s="1">
        <v>0.06</v>
      </c>
      <c r="O8" s="1">
        <v>0.12</v>
      </c>
      <c r="P8" t="s">
        <v>18</v>
      </c>
    </row>
    <row r="9" spans="1:16" x14ac:dyDescent="0.2">
      <c r="A9">
        <v>4</v>
      </c>
      <c r="B9" t="s">
        <v>21</v>
      </c>
      <c r="C9" s="3"/>
      <c r="D9" t="s">
        <v>36</v>
      </c>
      <c r="E9" t="s">
        <v>207</v>
      </c>
      <c r="F9" t="s">
        <v>26</v>
      </c>
      <c r="G9" t="s">
        <v>206</v>
      </c>
      <c r="J9" s="2">
        <v>61061</v>
      </c>
      <c r="L9">
        <v>1</v>
      </c>
      <c r="M9" t="s">
        <v>16</v>
      </c>
      <c r="N9" s="1">
        <v>1.7</v>
      </c>
      <c r="O9" s="1">
        <v>1.7</v>
      </c>
      <c r="P9" t="s">
        <v>17</v>
      </c>
    </row>
    <row r="10" spans="1:16" x14ac:dyDescent="0.2">
      <c r="A10">
        <v>5</v>
      </c>
      <c r="B10" t="s">
        <v>22</v>
      </c>
      <c r="C10" s="3"/>
      <c r="D10" t="s">
        <v>36</v>
      </c>
      <c r="E10" t="s">
        <v>207</v>
      </c>
      <c r="F10" t="s">
        <v>26</v>
      </c>
      <c r="G10" t="s">
        <v>206</v>
      </c>
      <c r="J10" s="2">
        <v>51812</v>
      </c>
      <c r="L10">
        <v>2</v>
      </c>
      <c r="M10" t="s">
        <v>16</v>
      </c>
      <c r="N10" s="1">
        <v>1.7</v>
      </c>
      <c r="O10" s="1">
        <v>3.4</v>
      </c>
      <c r="P10" t="s">
        <v>17</v>
      </c>
    </row>
    <row r="11" spans="1:16" x14ac:dyDescent="0.2">
      <c r="A11">
        <v>6</v>
      </c>
      <c r="B11" t="s">
        <v>23</v>
      </c>
      <c r="C11" s="3" t="s">
        <v>41</v>
      </c>
      <c r="D11" t="s">
        <v>35</v>
      </c>
      <c r="E11" t="s">
        <v>208</v>
      </c>
      <c r="F11" t="s">
        <v>27</v>
      </c>
      <c r="G11" t="s">
        <v>178</v>
      </c>
      <c r="J11" s="2" t="s">
        <v>28</v>
      </c>
      <c r="L11">
        <v>10</v>
      </c>
      <c r="M11" t="s">
        <v>16</v>
      </c>
      <c r="N11" s="1">
        <v>0.24</v>
      </c>
      <c r="O11" s="1">
        <v>2.4</v>
      </c>
      <c r="P11" t="s">
        <v>30</v>
      </c>
    </row>
    <row r="12" spans="1:16" x14ac:dyDescent="0.2">
      <c r="A12">
        <v>7</v>
      </c>
      <c r="B12" t="s">
        <v>31</v>
      </c>
      <c r="C12" s="3" t="s">
        <v>42</v>
      </c>
      <c r="D12" t="s">
        <v>37</v>
      </c>
      <c r="E12" t="s">
        <v>209</v>
      </c>
      <c r="F12" t="s">
        <v>27</v>
      </c>
      <c r="G12" t="s">
        <v>178</v>
      </c>
      <c r="J12" s="2" t="s">
        <v>38</v>
      </c>
      <c r="L12">
        <v>1</v>
      </c>
      <c r="M12" t="s">
        <v>16</v>
      </c>
      <c r="N12" s="1">
        <v>0.44</v>
      </c>
      <c r="O12" s="1">
        <v>0.44</v>
      </c>
      <c r="P12" t="s">
        <v>30</v>
      </c>
    </row>
    <row r="13" spans="1:16" x14ac:dyDescent="0.2">
      <c r="A13">
        <v>8</v>
      </c>
      <c r="B13" t="s">
        <v>39</v>
      </c>
      <c r="C13" s="3" t="s">
        <v>43</v>
      </c>
      <c r="E13" t="s">
        <v>44</v>
      </c>
      <c r="F13" t="s">
        <v>27</v>
      </c>
      <c r="G13" t="s">
        <v>178</v>
      </c>
      <c r="J13" s="2" t="s">
        <v>45</v>
      </c>
      <c r="L13">
        <v>2</v>
      </c>
      <c r="M13" t="s">
        <v>16</v>
      </c>
      <c r="N13" s="1">
        <v>0.47</v>
      </c>
      <c r="O13" s="1">
        <v>0.94</v>
      </c>
      <c r="P13" t="s">
        <v>29</v>
      </c>
    </row>
    <row r="14" spans="1:16" x14ac:dyDescent="0.2">
      <c r="A14">
        <v>9</v>
      </c>
      <c r="B14" t="s">
        <v>46</v>
      </c>
      <c r="C14" s="3" t="s">
        <v>47</v>
      </c>
      <c r="D14" t="s">
        <v>34</v>
      </c>
      <c r="E14" t="s">
        <v>205</v>
      </c>
      <c r="F14" t="s">
        <v>27</v>
      </c>
      <c r="G14" t="s">
        <v>178</v>
      </c>
      <c r="J14" s="2" t="s">
        <v>48</v>
      </c>
      <c r="L14">
        <v>4</v>
      </c>
      <c r="M14" t="s">
        <v>16</v>
      </c>
      <c r="N14" s="1">
        <v>3.05</v>
      </c>
      <c r="O14" s="1">
        <v>12.2</v>
      </c>
      <c r="P14" t="s">
        <v>29</v>
      </c>
    </row>
    <row r="15" spans="1:16" x14ac:dyDescent="0.2">
      <c r="A15">
        <v>10</v>
      </c>
      <c r="B15" t="s">
        <v>49</v>
      </c>
      <c r="C15" s="3" t="s">
        <v>50</v>
      </c>
      <c r="D15" t="s">
        <v>34</v>
      </c>
      <c r="E15" t="s">
        <v>205</v>
      </c>
      <c r="F15" t="s">
        <v>27</v>
      </c>
      <c r="G15" t="s">
        <v>178</v>
      </c>
      <c r="J15" s="2" t="s">
        <v>51</v>
      </c>
      <c r="L15">
        <v>24</v>
      </c>
      <c r="M15" t="s">
        <v>16</v>
      </c>
      <c r="N15" s="1">
        <v>0.44</v>
      </c>
      <c r="O15" s="1">
        <v>10.56</v>
      </c>
      <c r="P15" t="s">
        <v>29</v>
      </c>
    </row>
    <row r="16" spans="1:16" x14ac:dyDescent="0.2">
      <c r="A16">
        <v>11</v>
      </c>
      <c r="B16" t="s">
        <v>52</v>
      </c>
      <c r="C16" s="3" t="s">
        <v>50</v>
      </c>
      <c r="D16" t="s">
        <v>34</v>
      </c>
      <c r="E16" t="s">
        <v>205</v>
      </c>
      <c r="F16" t="s">
        <v>27</v>
      </c>
      <c r="G16" t="s">
        <v>178</v>
      </c>
      <c r="J16" s="2" t="s">
        <v>53</v>
      </c>
      <c r="L16">
        <v>15</v>
      </c>
      <c r="M16" t="s">
        <v>16</v>
      </c>
      <c r="N16" s="1">
        <v>0.62</v>
      </c>
      <c r="O16" s="1">
        <v>9.3000000000000007</v>
      </c>
      <c r="P16" t="s">
        <v>29</v>
      </c>
    </row>
    <row r="17" spans="1:16" x14ac:dyDescent="0.2">
      <c r="A17">
        <v>12</v>
      </c>
      <c r="B17" t="s">
        <v>54</v>
      </c>
      <c r="C17" s="3" t="s">
        <v>59</v>
      </c>
      <c r="E17" t="s">
        <v>55</v>
      </c>
      <c r="F17" t="s">
        <v>27</v>
      </c>
      <c r="G17" t="s">
        <v>178</v>
      </c>
      <c r="J17" s="2" t="s">
        <v>56</v>
      </c>
      <c r="L17">
        <v>40</v>
      </c>
      <c r="M17" t="s">
        <v>16</v>
      </c>
      <c r="N17" s="1">
        <v>5.3999999999999999E-2</v>
      </c>
      <c r="O17" s="1">
        <v>2.16</v>
      </c>
      <c r="P17" t="s">
        <v>29</v>
      </c>
    </row>
    <row r="18" spans="1:16" x14ac:dyDescent="0.2">
      <c r="A18">
        <v>13</v>
      </c>
      <c r="B18" t="s">
        <v>57</v>
      </c>
      <c r="C18" s="3" t="s">
        <v>41</v>
      </c>
      <c r="D18" t="s">
        <v>35</v>
      </c>
      <c r="E18" t="s">
        <v>208</v>
      </c>
      <c r="F18" t="s">
        <v>27</v>
      </c>
      <c r="G18" t="s">
        <v>178</v>
      </c>
      <c r="J18" s="2" t="s">
        <v>58</v>
      </c>
      <c r="L18">
        <v>8</v>
      </c>
      <c r="M18" t="s">
        <v>16</v>
      </c>
      <c r="N18" s="1">
        <v>0.40500000000000003</v>
      </c>
      <c r="O18" s="1">
        <v>3.24</v>
      </c>
      <c r="P18" t="s">
        <v>29</v>
      </c>
    </row>
    <row r="19" spans="1:16" x14ac:dyDescent="0.2">
      <c r="A19">
        <v>14</v>
      </c>
      <c r="B19" t="s">
        <v>60</v>
      </c>
      <c r="C19" s="3" t="s">
        <v>41</v>
      </c>
      <c r="D19" t="s">
        <v>35</v>
      </c>
      <c r="E19" t="s">
        <v>208</v>
      </c>
      <c r="F19" t="s">
        <v>27</v>
      </c>
      <c r="G19" t="s">
        <v>178</v>
      </c>
      <c r="J19" s="2" t="s">
        <v>61</v>
      </c>
      <c r="L19">
        <v>2</v>
      </c>
      <c r="M19" t="s">
        <v>16</v>
      </c>
      <c r="N19" s="1">
        <v>0.28000000000000003</v>
      </c>
      <c r="O19" s="1">
        <v>0.56000000000000005</v>
      </c>
      <c r="P19" t="s">
        <v>29</v>
      </c>
    </row>
    <row r="20" spans="1:16" x14ac:dyDescent="0.2">
      <c r="A20">
        <v>15</v>
      </c>
      <c r="B20" t="s">
        <v>62</v>
      </c>
      <c r="C20" s="3" t="s">
        <v>41</v>
      </c>
      <c r="D20" t="s">
        <v>35</v>
      </c>
      <c r="E20" t="s">
        <v>208</v>
      </c>
      <c r="F20" t="s">
        <v>27</v>
      </c>
      <c r="G20" t="s">
        <v>178</v>
      </c>
      <c r="J20" s="2" t="s">
        <v>63</v>
      </c>
      <c r="L20">
        <v>10</v>
      </c>
      <c r="M20" t="s">
        <v>16</v>
      </c>
      <c r="N20" s="1">
        <v>0.20399999999999999</v>
      </c>
      <c r="O20" s="1">
        <v>2.04</v>
      </c>
      <c r="P20" t="s">
        <v>29</v>
      </c>
    </row>
    <row r="21" spans="1:16" x14ac:dyDescent="0.2">
      <c r="A21">
        <v>16</v>
      </c>
      <c r="B21" t="s">
        <v>64</v>
      </c>
      <c r="C21" s="3" t="s">
        <v>65</v>
      </c>
      <c r="D21" t="s">
        <v>36</v>
      </c>
      <c r="E21" t="s">
        <v>207</v>
      </c>
      <c r="F21" t="s">
        <v>27</v>
      </c>
      <c r="G21" t="s">
        <v>178</v>
      </c>
      <c r="J21" s="2" t="s">
        <v>66</v>
      </c>
      <c r="L21">
        <v>7</v>
      </c>
      <c r="M21" t="s">
        <v>16</v>
      </c>
      <c r="N21" s="1">
        <v>1.157</v>
      </c>
      <c r="O21" s="1">
        <v>8.0990000000000002</v>
      </c>
      <c r="P21" t="s">
        <v>29</v>
      </c>
    </row>
    <row r="22" spans="1:16" x14ac:dyDescent="0.2">
      <c r="A22">
        <v>17</v>
      </c>
      <c r="B22" t="s">
        <v>68</v>
      </c>
      <c r="C22" s="3"/>
      <c r="D22" t="s">
        <v>34</v>
      </c>
      <c r="E22" t="s">
        <v>205</v>
      </c>
      <c r="F22" t="s">
        <v>27</v>
      </c>
      <c r="G22" t="s">
        <v>178</v>
      </c>
      <c r="J22" s="2" t="s">
        <v>69</v>
      </c>
      <c r="L22">
        <v>1</v>
      </c>
      <c r="M22" t="s">
        <v>70</v>
      </c>
      <c r="N22" s="1">
        <v>4.53</v>
      </c>
      <c r="O22" s="1">
        <v>4.53</v>
      </c>
      <c r="P22" t="s">
        <v>71</v>
      </c>
    </row>
    <row r="23" spans="1:16" x14ac:dyDescent="0.2">
      <c r="A23">
        <v>18</v>
      </c>
      <c r="B23" t="s">
        <v>72</v>
      </c>
      <c r="C23" s="3" t="s">
        <v>73</v>
      </c>
      <c r="E23" t="s">
        <v>74</v>
      </c>
      <c r="F23" t="s">
        <v>27</v>
      </c>
      <c r="G23" t="s">
        <v>178</v>
      </c>
      <c r="J23" s="2" t="s">
        <v>75</v>
      </c>
      <c r="L23">
        <v>9</v>
      </c>
      <c r="M23" t="s">
        <v>16</v>
      </c>
      <c r="N23" s="1">
        <v>0.96579999999999999</v>
      </c>
      <c r="O23" s="1">
        <v>8.6921999999999997</v>
      </c>
      <c r="P23" t="s">
        <v>71</v>
      </c>
    </row>
    <row r="24" spans="1:16" x14ac:dyDescent="0.2">
      <c r="A24">
        <v>19</v>
      </c>
      <c r="B24" t="s">
        <v>76</v>
      </c>
      <c r="C24" s="3" t="s">
        <v>77</v>
      </c>
      <c r="D24" t="s">
        <v>34</v>
      </c>
      <c r="E24" t="s">
        <v>205</v>
      </c>
      <c r="F24" t="s">
        <v>27</v>
      </c>
      <c r="G24" t="s">
        <v>178</v>
      </c>
      <c r="J24" s="2" t="s">
        <v>78</v>
      </c>
      <c r="L24">
        <v>4</v>
      </c>
      <c r="M24" t="s">
        <v>16</v>
      </c>
      <c r="N24" s="1">
        <v>0.31</v>
      </c>
      <c r="O24" s="1">
        <v>1.24</v>
      </c>
      <c r="P24" t="s">
        <v>67</v>
      </c>
    </row>
    <row r="25" spans="1:16" x14ac:dyDescent="0.2">
      <c r="A25">
        <v>20</v>
      </c>
      <c r="B25" t="s">
        <v>79</v>
      </c>
      <c r="C25" s="3" t="s">
        <v>80</v>
      </c>
      <c r="E25" t="s">
        <v>82</v>
      </c>
      <c r="F25" t="s">
        <v>27</v>
      </c>
      <c r="G25" t="s">
        <v>178</v>
      </c>
      <c r="J25" s="2" t="s">
        <v>81</v>
      </c>
      <c r="L25">
        <v>47</v>
      </c>
      <c r="M25" t="s">
        <v>16</v>
      </c>
      <c r="N25" s="1">
        <v>4.4999999999999997E-3</v>
      </c>
      <c r="O25" s="1">
        <v>0.21149999999999999</v>
      </c>
      <c r="P25" t="s">
        <v>67</v>
      </c>
    </row>
    <row r="26" spans="1:16" x14ac:dyDescent="0.2">
      <c r="A26">
        <v>21</v>
      </c>
      <c r="B26" t="s">
        <v>83</v>
      </c>
      <c r="C26" s="3" t="s">
        <v>84</v>
      </c>
      <c r="E26" t="s">
        <v>85</v>
      </c>
      <c r="F26" t="s">
        <v>27</v>
      </c>
      <c r="G26" t="s">
        <v>178</v>
      </c>
      <c r="J26" s="2" t="s">
        <v>86</v>
      </c>
      <c r="L26">
        <v>12</v>
      </c>
      <c r="M26" t="s">
        <v>16</v>
      </c>
      <c r="N26" s="1">
        <v>0.75029999999999997</v>
      </c>
      <c r="O26" s="1">
        <v>9.0035999999999987</v>
      </c>
      <c r="P26" t="s">
        <v>67</v>
      </c>
    </row>
    <row r="27" spans="1:16" x14ac:dyDescent="0.2">
      <c r="A27">
        <v>22</v>
      </c>
      <c r="B27" t="s">
        <v>87</v>
      </c>
      <c r="C27" s="3" t="s">
        <v>88</v>
      </c>
      <c r="E27" t="s">
        <v>74</v>
      </c>
      <c r="F27" t="s">
        <v>27</v>
      </c>
      <c r="G27" t="s">
        <v>178</v>
      </c>
      <c r="J27" s="2" t="s">
        <v>89</v>
      </c>
      <c r="L27">
        <v>20</v>
      </c>
      <c r="M27" t="s">
        <v>16</v>
      </c>
      <c r="N27" s="1">
        <v>0.224</v>
      </c>
      <c r="O27" s="1">
        <v>4.4800000000000004</v>
      </c>
      <c r="P27" t="s">
        <v>67</v>
      </c>
    </row>
    <row r="28" spans="1:16" x14ac:dyDescent="0.2">
      <c r="A28">
        <v>23</v>
      </c>
      <c r="B28" t="s">
        <v>90</v>
      </c>
      <c r="C28" s="3" t="s">
        <v>65</v>
      </c>
      <c r="D28" t="s">
        <v>36</v>
      </c>
      <c r="E28" t="s">
        <v>207</v>
      </c>
      <c r="F28" t="s">
        <v>27</v>
      </c>
      <c r="G28" t="s">
        <v>178</v>
      </c>
      <c r="J28" s="2" t="s">
        <v>91</v>
      </c>
      <c r="L28">
        <v>76</v>
      </c>
      <c r="M28" t="s">
        <v>16</v>
      </c>
      <c r="N28" s="1">
        <v>7.0000000000000007E-2</v>
      </c>
      <c r="O28" s="1">
        <v>5.32</v>
      </c>
      <c r="P28" t="s">
        <v>67</v>
      </c>
    </row>
    <row r="29" spans="1:16" x14ac:dyDescent="0.2">
      <c r="A29">
        <v>24</v>
      </c>
      <c r="B29" t="s">
        <v>92</v>
      </c>
      <c r="C29" s="3" t="s">
        <v>65</v>
      </c>
      <c r="D29" t="s">
        <v>36</v>
      </c>
      <c r="E29" t="s">
        <v>207</v>
      </c>
      <c r="F29" t="s">
        <v>27</v>
      </c>
      <c r="G29" t="s">
        <v>178</v>
      </c>
      <c r="J29" s="2" t="s">
        <v>93</v>
      </c>
      <c r="L29">
        <v>9</v>
      </c>
      <c r="M29" t="s">
        <v>16</v>
      </c>
      <c r="N29" s="1">
        <v>0.504</v>
      </c>
      <c r="O29" s="1">
        <v>4.5359999999999996</v>
      </c>
      <c r="P29" t="s">
        <v>67</v>
      </c>
    </row>
    <row r="30" spans="1:16" x14ac:dyDescent="0.2">
      <c r="A30">
        <v>25</v>
      </c>
      <c r="B30" t="s">
        <v>94</v>
      </c>
      <c r="C30" s="3"/>
      <c r="D30" t="s">
        <v>34</v>
      </c>
      <c r="E30" t="s">
        <v>205</v>
      </c>
      <c r="G30" t="s">
        <v>95</v>
      </c>
      <c r="J30" s="2"/>
      <c r="L30">
        <v>8</v>
      </c>
      <c r="M30" t="s">
        <v>16</v>
      </c>
      <c r="N30" s="1">
        <v>0.1</v>
      </c>
      <c r="O30" s="1">
        <v>0.8</v>
      </c>
      <c r="P30" t="s">
        <v>67</v>
      </c>
    </row>
    <row r="31" spans="1:16" x14ac:dyDescent="0.2">
      <c r="A31">
        <v>26</v>
      </c>
      <c r="B31" t="s">
        <v>96</v>
      </c>
      <c r="C31" s="3"/>
      <c r="D31" t="s">
        <v>34</v>
      </c>
      <c r="E31" t="s">
        <v>205</v>
      </c>
      <c r="G31" t="s">
        <v>95</v>
      </c>
      <c r="J31" s="2"/>
      <c r="L31">
        <v>8</v>
      </c>
      <c r="M31" t="s">
        <v>70</v>
      </c>
      <c r="N31" s="1">
        <v>0.3</v>
      </c>
      <c r="O31" s="1">
        <v>2.4</v>
      </c>
      <c r="P31" t="s">
        <v>67</v>
      </c>
    </row>
    <row r="32" spans="1:16" x14ac:dyDescent="0.2">
      <c r="A32">
        <v>27</v>
      </c>
      <c r="B32" t="s">
        <v>97</v>
      </c>
      <c r="C32" s="3"/>
      <c r="D32" t="s">
        <v>34</v>
      </c>
      <c r="E32" t="s">
        <v>205</v>
      </c>
      <c r="G32" t="s">
        <v>95</v>
      </c>
      <c r="J32" s="2"/>
      <c r="L32">
        <v>9</v>
      </c>
      <c r="M32" t="s">
        <v>16</v>
      </c>
      <c r="N32" s="1">
        <v>0.43</v>
      </c>
      <c r="O32" s="1">
        <v>3.87</v>
      </c>
      <c r="P32" t="s">
        <v>67</v>
      </c>
    </row>
    <row r="33" spans="1:16" x14ac:dyDescent="0.2">
      <c r="A33">
        <v>28</v>
      </c>
      <c r="B33" t="s">
        <v>98</v>
      </c>
      <c r="C33" s="3"/>
      <c r="D33" t="s">
        <v>35</v>
      </c>
      <c r="E33" t="s">
        <v>208</v>
      </c>
      <c r="F33" t="s">
        <v>27</v>
      </c>
      <c r="G33" t="s">
        <v>178</v>
      </c>
      <c r="J33" s="2" t="s">
        <v>99</v>
      </c>
      <c r="L33">
        <v>100</v>
      </c>
      <c r="M33" t="s">
        <v>16</v>
      </c>
      <c r="N33" s="1">
        <v>0.05</v>
      </c>
      <c r="O33" s="1">
        <v>5</v>
      </c>
      <c r="P33" t="s">
        <v>100</v>
      </c>
    </row>
    <row r="34" spans="1:16" x14ac:dyDescent="0.2">
      <c r="A34">
        <v>29</v>
      </c>
      <c r="B34" t="s">
        <v>101</v>
      </c>
      <c r="C34" s="3"/>
      <c r="D34" t="s">
        <v>35</v>
      </c>
      <c r="E34" t="s">
        <v>208</v>
      </c>
      <c r="F34" t="s">
        <v>27</v>
      </c>
      <c r="G34" t="s">
        <v>178</v>
      </c>
      <c r="J34" s="2" t="s">
        <v>102</v>
      </c>
      <c r="L34">
        <v>100</v>
      </c>
      <c r="M34" t="s">
        <v>16</v>
      </c>
      <c r="N34" s="1">
        <v>0.04</v>
      </c>
      <c r="O34" s="1">
        <v>4</v>
      </c>
      <c r="P34" t="s">
        <v>100</v>
      </c>
    </row>
    <row r="35" spans="1:16" x14ac:dyDescent="0.2">
      <c r="A35">
        <v>30</v>
      </c>
      <c r="B35" t="s">
        <v>103</v>
      </c>
      <c r="C35" s="3"/>
      <c r="D35" t="s">
        <v>35</v>
      </c>
      <c r="E35" t="s">
        <v>208</v>
      </c>
      <c r="G35" t="s">
        <v>104</v>
      </c>
      <c r="J35" s="2"/>
      <c r="L35">
        <v>20</v>
      </c>
      <c r="M35" t="s">
        <v>105</v>
      </c>
      <c r="N35" s="1">
        <v>0.6</v>
      </c>
      <c r="O35" s="1">
        <v>12</v>
      </c>
      <c r="P35" t="s">
        <v>109</v>
      </c>
    </row>
    <row r="36" spans="1:16" x14ac:dyDescent="0.2">
      <c r="A36">
        <v>31</v>
      </c>
      <c r="B36" t="s">
        <v>106</v>
      </c>
      <c r="C36" s="3" t="s">
        <v>107</v>
      </c>
      <c r="D36" t="s">
        <v>34</v>
      </c>
      <c r="E36" t="s">
        <v>205</v>
      </c>
      <c r="G36" t="s">
        <v>108</v>
      </c>
      <c r="J36" s="2"/>
      <c r="L36">
        <v>4</v>
      </c>
      <c r="M36" t="s">
        <v>70</v>
      </c>
      <c r="N36" s="1">
        <v>1</v>
      </c>
      <c r="O36" s="1">
        <v>4</v>
      </c>
      <c r="P36" t="s">
        <v>109</v>
      </c>
    </row>
    <row r="37" spans="1:16" x14ac:dyDescent="0.2">
      <c r="A37">
        <v>32</v>
      </c>
      <c r="B37" t="s">
        <v>110</v>
      </c>
      <c r="C37" s="3"/>
      <c r="D37" t="s">
        <v>34</v>
      </c>
      <c r="E37" t="s">
        <v>205</v>
      </c>
      <c r="G37" t="s">
        <v>108</v>
      </c>
      <c r="J37" s="2"/>
      <c r="L37">
        <v>4</v>
      </c>
      <c r="M37" t="s">
        <v>16</v>
      </c>
      <c r="N37" s="1">
        <v>1</v>
      </c>
      <c r="O37" s="1">
        <v>4</v>
      </c>
      <c r="P37" t="s">
        <v>100</v>
      </c>
    </row>
    <row r="38" spans="1:16" x14ac:dyDescent="0.2">
      <c r="A38">
        <v>33</v>
      </c>
      <c r="B38" t="s">
        <v>116</v>
      </c>
      <c r="C38" s="3" t="s">
        <v>121</v>
      </c>
      <c r="E38" t="s">
        <v>117</v>
      </c>
      <c r="H38" t="s">
        <v>119</v>
      </c>
      <c r="I38" t="s">
        <v>118</v>
      </c>
      <c r="J38" s="2"/>
      <c r="K38" s="2" t="s">
        <v>116</v>
      </c>
      <c r="L38">
        <v>2</v>
      </c>
      <c r="M38" t="s">
        <v>120</v>
      </c>
      <c r="N38" s="1">
        <v>58</v>
      </c>
      <c r="O38" s="1">
        <v>116</v>
      </c>
      <c r="P38" t="s">
        <v>134</v>
      </c>
    </row>
    <row r="39" spans="1:16" x14ac:dyDescent="0.2">
      <c r="A39">
        <v>34</v>
      </c>
      <c r="B39" t="s">
        <v>122</v>
      </c>
      <c r="C39" s="3" t="s">
        <v>123</v>
      </c>
      <c r="E39" t="s">
        <v>124</v>
      </c>
      <c r="H39" t="s">
        <v>125</v>
      </c>
      <c r="I39" t="s">
        <v>126</v>
      </c>
      <c r="J39" s="2"/>
      <c r="K39" s="2" t="s">
        <v>122</v>
      </c>
      <c r="L39">
        <v>2</v>
      </c>
      <c r="M39" t="s">
        <v>120</v>
      </c>
      <c r="N39" s="1">
        <v>105</v>
      </c>
      <c r="O39" s="1">
        <v>210</v>
      </c>
      <c r="P39" t="s">
        <v>134</v>
      </c>
    </row>
    <row r="40" spans="1:16" x14ac:dyDescent="0.2">
      <c r="A40">
        <v>35</v>
      </c>
      <c r="B40" t="s">
        <v>127</v>
      </c>
      <c r="C40" s="3" t="s">
        <v>128</v>
      </c>
      <c r="E40" t="s">
        <v>129</v>
      </c>
      <c r="H40" t="s">
        <v>119</v>
      </c>
      <c r="I40" t="s">
        <v>118</v>
      </c>
      <c r="J40" s="2"/>
      <c r="K40" s="2" t="s">
        <v>130</v>
      </c>
      <c r="L40">
        <v>7</v>
      </c>
      <c r="M40" t="s">
        <v>120</v>
      </c>
      <c r="N40" s="1">
        <v>20</v>
      </c>
      <c r="O40" s="1">
        <v>140</v>
      </c>
      <c r="P40" t="s">
        <v>134</v>
      </c>
    </row>
    <row r="41" spans="1:16" x14ac:dyDescent="0.2">
      <c r="A41">
        <v>36</v>
      </c>
      <c r="B41" t="s">
        <v>131</v>
      </c>
      <c r="C41" s="3" t="s">
        <v>132</v>
      </c>
      <c r="E41" t="s">
        <v>133</v>
      </c>
      <c r="H41" t="s">
        <v>125</v>
      </c>
      <c r="I41" t="s">
        <v>126</v>
      </c>
      <c r="J41" s="2"/>
      <c r="K41" s="2" t="s">
        <v>131</v>
      </c>
      <c r="L41">
        <v>4</v>
      </c>
      <c r="M41" t="s">
        <v>120</v>
      </c>
      <c r="N41" s="1">
        <v>30</v>
      </c>
      <c r="O41" s="1">
        <v>120</v>
      </c>
      <c r="P41" t="s">
        <v>134</v>
      </c>
    </row>
    <row r="42" spans="1:16" x14ac:dyDescent="0.2">
      <c r="A42">
        <v>37</v>
      </c>
      <c r="B42" t="s">
        <v>135</v>
      </c>
      <c r="C42" s="3" t="s">
        <v>136</v>
      </c>
      <c r="E42" t="s">
        <v>135</v>
      </c>
      <c r="F42" t="s">
        <v>27</v>
      </c>
      <c r="G42" t="s">
        <v>178</v>
      </c>
      <c r="H42" t="s">
        <v>137</v>
      </c>
      <c r="I42" t="s">
        <v>138</v>
      </c>
      <c r="J42" s="2" t="s">
        <v>146</v>
      </c>
      <c r="K42" s="2" t="s">
        <v>147</v>
      </c>
      <c r="L42">
        <v>9</v>
      </c>
      <c r="M42" t="s">
        <v>16</v>
      </c>
      <c r="N42" s="1">
        <v>3.1</v>
      </c>
      <c r="O42" s="1">
        <v>27.900000000000002</v>
      </c>
      <c r="P42" t="s">
        <v>30</v>
      </c>
    </row>
    <row r="43" spans="1:16" x14ac:dyDescent="0.2">
      <c r="A43">
        <v>38</v>
      </c>
      <c r="B43" t="s">
        <v>140</v>
      </c>
      <c r="C43" s="3" t="s">
        <v>141</v>
      </c>
      <c r="E43" t="s">
        <v>142</v>
      </c>
      <c r="F43" t="s">
        <v>27</v>
      </c>
      <c r="G43" t="s">
        <v>178</v>
      </c>
      <c r="H43" t="s">
        <v>143</v>
      </c>
      <c r="I43" t="s">
        <v>144</v>
      </c>
      <c r="J43" s="2" t="s">
        <v>145</v>
      </c>
      <c r="K43" s="2" t="s">
        <v>148</v>
      </c>
      <c r="L43">
        <v>15</v>
      </c>
      <c r="M43" t="s">
        <v>120</v>
      </c>
      <c r="N43" s="1">
        <v>0.78</v>
      </c>
      <c r="O43" s="1">
        <v>11.700000000000001</v>
      </c>
      <c r="P43" t="s">
        <v>134</v>
      </c>
    </row>
    <row r="44" spans="1:16" x14ac:dyDescent="0.2">
      <c r="A44">
        <v>39</v>
      </c>
      <c r="B44" t="s">
        <v>150</v>
      </c>
      <c r="C44" s="3" t="s">
        <v>141</v>
      </c>
      <c r="E44" t="s">
        <v>151</v>
      </c>
      <c r="F44" t="s">
        <v>27</v>
      </c>
      <c r="G44" t="s">
        <v>178</v>
      </c>
      <c r="H44" t="s">
        <v>143</v>
      </c>
      <c r="I44" t="s">
        <v>144</v>
      </c>
      <c r="J44" s="2" t="s">
        <v>152</v>
      </c>
      <c r="K44" s="2" t="s">
        <v>153</v>
      </c>
      <c r="L44">
        <v>30</v>
      </c>
      <c r="M44" t="s">
        <v>120</v>
      </c>
      <c r="N44" s="1">
        <v>0.311</v>
      </c>
      <c r="O44" s="1">
        <v>9.33</v>
      </c>
      <c r="P44" t="s">
        <v>134</v>
      </c>
    </row>
    <row r="45" spans="1:16" x14ac:dyDescent="0.2">
      <c r="A45">
        <v>40</v>
      </c>
      <c r="B45" t="s">
        <v>154</v>
      </c>
      <c r="C45" s="3" t="s">
        <v>155</v>
      </c>
      <c r="E45" t="s">
        <v>156</v>
      </c>
      <c r="F45" t="s">
        <v>27</v>
      </c>
      <c r="G45" t="s">
        <v>178</v>
      </c>
      <c r="H45" t="s">
        <v>158</v>
      </c>
      <c r="I45" t="s">
        <v>157</v>
      </c>
      <c r="J45" s="2" t="s">
        <v>159</v>
      </c>
      <c r="K45" s="2" t="s">
        <v>160</v>
      </c>
      <c r="L45">
        <v>6</v>
      </c>
      <c r="M45" t="s">
        <v>120</v>
      </c>
      <c r="N45" s="1">
        <v>1.1499999999999999</v>
      </c>
      <c r="O45" s="1">
        <v>6.8999999999999995</v>
      </c>
      <c r="P45" t="s">
        <v>134</v>
      </c>
    </row>
    <row r="46" spans="1:16" x14ac:dyDescent="0.2">
      <c r="A46">
        <v>41</v>
      </c>
      <c r="B46" t="s">
        <v>161</v>
      </c>
      <c r="C46" s="3" t="s">
        <v>162</v>
      </c>
      <c r="E46" t="s">
        <v>163</v>
      </c>
      <c r="F46" t="s">
        <v>27</v>
      </c>
      <c r="G46" t="s">
        <v>178</v>
      </c>
      <c r="H46" t="s">
        <v>165</v>
      </c>
      <c r="I46" t="s">
        <v>166</v>
      </c>
      <c r="J46" s="2" t="s">
        <v>164</v>
      </c>
      <c r="K46" s="2" t="s">
        <v>167</v>
      </c>
      <c r="L46">
        <v>20</v>
      </c>
      <c r="M46" t="s">
        <v>16</v>
      </c>
      <c r="N46" s="1">
        <v>0.16900000000000001</v>
      </c>
      <c r="O46" s="1">
        <v>3.3800000000000003</v>
      </c>
      <c r="P46" t="s">
        <v>134</v>
      </c>
    </row>
    <row r="47" spans="1:16" x14ac:dyDescent="0.2">
      <c r="A47">
        <v>42</v>
      </c>
      <c r="B47" t="s">
        <v>168</v>
      </c>
      <c r="C47" s="3" t="s">
        <v>169</v>
      </c>
      <c r="E47" t="s">
        <v>170</v>
      </c>
      <c r="F47" t="s">
        <v>27</v>
      </c>
      <c r="G47" t="s">
        <v>178</v>
      </c>
      <c r="H47" t="s">
        <v>158</v>
      </c>
      <c r="I47" t="s">
        <v>157</v>
      </c>
      <c r="J47" s="2" t="s">
        <v>171</v>
      </c>
      <c r="K47" s="2" t="s">
        <v>168</v>
      </c>
      <c r="L47">
        <v>6</v>
      </c>
      <c r="M47" t="s">
        <v>120</v>
      </c>
      <c r="N47" s="1">
        <v>1.43</v>
      </c>
      <c r="O47" s="1">
        <v>8.58</v>
      </c>
      <c r="P47" t="s">
        <v>134</v>
      </c>
    </row>
    <row r="48" spans="1:16" x14ac:dyDescent="0.2">
      <c r="A48">
        <v>43</v>
      </c>
      <c r="B48" t="s">
        <v>172</v>
      </c>
      <c r="C48" s="3" t="s">
        <v>173</v>
      </c>
      <c r="E48" t="s">
        <v>174</v>
      </c>
      <c r="F48" t="s">
        <v>27</v>
      </c>
      <c r="G48" t="s">
        <v>178</v>
      </c>
      <c r="H48" t="s">
        <v>175</v>
      </c>
      <c r="I48" t="s">
        <v>176</v>
      </c>
      <c r="J48" s="2" t="s">
        <v>177</v>
      </c>
      <c r="K48" s="2" t="s">
        <v>172</v>
      </c>
      <c r="L48">
        <v>2</v>
      </c>
      <c r="M48" t="s">
        <v>120</v>
      </c>
      <c r="N48" s="1">
        <v>9.36</v>
      </c>
      <c r="O48" s="1">
        <v>18.72</v>
      </c>
      <c r="P48" t="s">
        <v>134</v>
      </c>
    </row>
    <row r="49" spans="1:16" x14ac:dyDescent="0.2">
      <c r="A49">
        <v>44</v>
      </c>
      <c r="B49" t="s">
        <v>179</v>
      </c>
      <c r="C49" s="3" t="s">
        <v>180</v>
      </c>
      <c r="E49" t="s">
        <v>185</v>
      </c>
      <c r="H49" t="s">
        <v>125</v>
      </c>
      <c r="I49" t="s">
        <v>126</v>
      </c>
      <c r="J49" s="2"/>
      <c r="K49" s="2" t="s">
        <v>179</v>
      </c>
      <c r="L49">
        <v>4</v>
      </c>
      <c r="M49" t="s">
        <v>120</v>
      </c>
      <c r="N49" s="1"/>
      <c r="O49" s="1"/>
      <c r="P49" t="s">
        <v>134</v>
      </c>
    </row>
    <row r="50" spans="1:16" x14ac:dyDescent="0.2">
      <c r="A50">
        <v>45</v>
      </c>
      <c r="B50" t="s">
        <v>182</v>
      </c>
      <c r="C50" s="3" t="s">
        <v>183</v>
      </c>
      <c r="E50" t="s">
        <v>184</v>
      </c>
      <c r="H50" t="s">
        <v>125</v>
      </c>
      <c r="I50" t="s">
        <v>126</v>
      </c>
      <c r="J50" s="2"/>
      <c r="K50" s="2" t="s">
        <v>182</v>
      </c>
      <c r="L50">
        <v>4</v>
      </c>
      <c r="M50" t="s">
        <v>120</v>
      </c>
      <c r="N50" s="1"/>
      <c r="O50" s="1"/>
      <c r="P50" t="s">
        <v>134</v>
      </c>
    </row>
    <row r="51" spans="1:16" x14ac:dyDescent="0.2">
      <c r="A51">
        <v>46</v>
      </c>
      <c r="B51" t="s">
        <v>186</v>
      </c>
      <c r="C51" s="3" t="s">
        <v>141</v>
      </c>
      <c r="E51" t="s">
        <v>187</v>
      </c>
      <c r="H51" t="s">
        <v>125</v>
      </c>
      <c r="I51" t="s">
        <v>126</v>
      </c>
      <c r="J51" s="2"/>
      <c r="K51" s="2" t="s">
        <v>186</v>
      </c>
      <c r="L51">
        <v>10</v>
      </c>
      <c r="M51" t="s">
        <v>120</v>
      </c>
      <c r="N51" s="1"/>
      <c r="O51" s="1"/>
      <c r="P51" t="s">
        <v>134</v>
      </c>
    </row>
    <row r="52" spans="1:16" x14ac:dyDescent="0.2">
      <c r="A52">
        <v>47</v>
      </c>
      <c r="B52" t="s">
        <v>188</v>
      </c>
      <c r="C52" s="3" t="s">
        <v>189</v>
      </c>
      <c r="E52" t="s">
        <v>190</v>
      </c>
      <c r="H52" t="s">
        <v>125</v>
      </c>
      <c r="I52" t="s">
        <v>126</v>
      </c>
      <c r="J52" s="2"/>
      <c r="K52" s="2" t="s">
        <v>188</v>
      </c>
      <c r="L52">
        <v>1</v>
      </c>
      <c r="M52" t="s">
        <v>120</v>
      </c>
      <c r="N52" s="1"/>
      <c r="O52" s="1"/>
      <c r="P52" t="s">
        <v>134</v>
      </c>
    </row>
    <row r="53" spans="1:16" x14ac:dyDescent="0.2">
      <c r="A53">
        <v>48</v>
      </c>
      <c r="B53" t="s">
        <v>191</v>
      </c>
      <c r="C53" s="3" t="s">
        <v>73</v>
      </c>
      <c r="E53" t="s">
        <v>192</v>
      </c>
      <c r="H53" t="s">
        <v>193</v>
      </c>
      <c r="I53" t="s">
        <v>194</v>
      </c>
      <c r="J53" s="2"/>
      <c r="K53" s="2" t="s">
        <v>195</v>
      </c>
      <c r="L53">
        <v>10</v>
      </c>
      <c r="M53" t="s">
        <v>120</v>
      </c>
      <c r="N53" s="1"/>
      <c r="O53" s="1"/>
      <c r="P53" t="s">
        <v>196</v>
      </c>
    </row>
    <row r="54" spans="1:16" x14ac:dyDescent="0.2">
      <c r="A54">
        <v>49</v>
      </c>
      <c r="B54" t="s">
        <v>197</v>
      </c>
      <c r="C54" s="3" t="s">
        <v>73</v>
      </c>
      <c r="E54" t="s">
        <v>198</v>
      </c>
      <c r="H54" t="s">
        <v>125</v>
      </c>
      <c r="I54" t="s">
        <v>126</v>
      </c>
      <c r="J54" s="2"/>
      <c r="K54" s="2" t="s">
        <v>199</v>
      </c>
      <c r="L54">
        <v>6</v>
      </c>
      <c r="M54" t="s">
        <v>120</v>
      </c>
      <c r="N54" s="1"/>
      <c r="O54" s="1"/>
      <c r="P54" t="s">
        <v>196</v>
      </c>
    </row>
    <row r="55" spans="1:16" x14ac:dyDescent="0.2">
      <c r="A55">
        <v>50</v>
      </c>
      <c r="B55" t="s">
        <v>200</v>
      </c>
      <c r="C55" s="3" t="s">
        <v>201</v>
      </c>
      <c r="E55" t="s">
        <v>202</v>
      </c>
      <c r="H55" t="s">
        <v>203</v>
      </c>
      <c r="I55" t="s">
        <v>204</v>
      </c>
      <c r="J55" s="2"/>
      <c r="K55" s="2" t="s">
        <v>200</v>
      </c>
      <c r="L55">
        <v>2</v>
      </c>
      <c r="M55" t="s">
        <v>120</v>
      </c>
      <c r="N55" s="1"/>
      <c r="O55" s="1"/>
      <c r="P55" t="s">
        <v>196</v>
      </c>
    </row>
    <row r="56" spans="1:16" x14ac:dyDescent="0.2">
      <c r="C56" s="3"/>
      <c r="J56" s="2"/>
      <c r="N56" s="1"/>
      <c r="O56" s="1"/>
    </row>
    <row r="57" spans="1:16" x14ac:dyDescent="0.2">
      <c r="C57" s="3"/>
      <c r="J57" s="2"/>
      <c r="N57" s="1"/>
      <c r="O57" s="1"/>
    </row>
    <row r="58" spans="1:16" x14ac:dyDescent="0.2">
      <c r="C58" s="3"/>
      <c r="J58" s="2"/>
      <c r="N58" s="1"/>
      <c r="O58" s="1"/>
    </row>
    <row r="59" spans="1:16" x14ac:dyDescent="0.2">
      <c r="C59" s="3"/>
      <c r="J59" s="2"/>
      <c r="N59" s="1"/>
      <c r="O59" s="1"/>
    </row>
    <row r="60" spans="1:16" x14ac:dyDescent="0.2">
      <c r="C60" s="3"/>
      <c r="J60" s="2"/>
      <c r="N60" s="1"/>
      <c r="O60" s="1"/>
    </row>
    <row r="61" spans="1:16" x14ac:dyDescent="0.2">
      <c r="C61" s="3"/>
      <c r="J61" s="2"/>
      <c r="N61" s="1"/>
      <c r="O61" s="1"/>
    </row>
    <row r="62" spans="1:16" x14ac:dyDescent="0.2">
      <c r="C62" s="3"/>
      <c r="J62" s="2"/>
      <c r="N62" s="1"/>
      <c r="O62" s="1"/>
    </row>
    <row r="63" spans="1:16" x14ac:dyDescent="0.2">
      <c r="C63" s="3"/>
      <c r="J63" s="2"/>
      <c r="N63" s="1"/>
      <c r="O63" s="1"/>
    </row>
    <row r="64" spans="1:16" x14ac:dyDescent="0.2">
      <c r="C64" s="3"/>
      <c r="J64" s="2"/>
      <c r="N64" s="1"/>
      <c r="O64" s="1"/>
    </row>
    <row r="65" spans="3:15" x14ac:dyDescent="0.2">
      <c r="C65" s="3"/>
      <c r="J65" s="2"/>
      <c r="N65" s="1"/>
      <c r="O65" s="1"/>
    </row>
    <row r="66" spans="3:15" x14ac:dyDescent="0.2">
      <c r="C66" s="3"/>
      <c r="J66" s="2"/>
      <c r="N66" s="1"/>
      <c r="O66" s="1"/>
    </row>
    <row r="67" spans="3:15" x14ac:dyDescent="0.2">
      <c r="C67" s="3"/>
      <c r="J67" s="2"/>
      <c r="N67" s="1"/>
      <c r="O67" s="1"/>
    </row>
    <row r="68" spans="3:15" x14ac:dyDescent="0.2">
      <c r="C68" s="3"/>
      <c r="J68" s="2"/>
      <c r="N68" s="1"/>
      <c r="O68" s="1"/>
    </row>
    <row r="69" spans="3:15" x14ac:dyDescent="0.2">
      <c r="C69" s="3"/>
      <c r="J69" s="2"/>
      <c r="N69" s="1"/>
      <c r="O69" s="1"/>
    </row>
    <row r="70" spans="3:15" x14ac:dyDescent="0.2">
      <c r="C70" s="3"/>
      <c r="J70" s="2"/>
      <c r="N70" s="1"/>
      <c r="O70" s="1"/>
    </row>
    <row r="71" spans="3:15" x14ac:dyDescent="0.2">
      <c r="C71" s="3"/>
      <c r="J71" s="2"/>
      <c r="N71" s="1"/>
      <c r="O71" s="1"/>
    </row>
    <row r="72" spans="3:15" x14ac:dyDescent="0.2">
      <c r="C72" s="3"/>
      <c r="J72" s="2"/>
      <c r="N72" s="1"/>
      <c r="O72" s="1"/>
    </row>
    <row r="73" spans="3:15" x14ac:dyDescent="0.2">
      <c r="C73" s="3"/>
      <c r="J73" s="2"/>
      <c r="N73" s="1"/>
      <c r="O73" s="1"/>
    </row>
    <row r="74" spans="3:15" x14ac:dyDescent="0.2">
      <c r="C74" s="3"/>
      <c r="J74" s="2"/>
      <c r="N74" s="1"/>
      <c r="O74" s="1"/>
    </row>
    <row r="75" spans="3:15" x14ac:dyDescent="0.2">
      <c r="C75" s="3"/>
      <c r="J75" s="2"/>
      <c r="N75" s="1"/>
      <c r="O75" s="1"/>
    </row>
    <row r="76" spans="3:15" x14ac:dyDescent="0.2">
      <c r="C76" s="3"/>
      <c r="J76" s="2"/>
      <c r="N76" s="1"/>
      <c r="O76" s="1"/>
    </row>
    <row r="77" spans="3:15" x14ac:dyDescent="0.2">
      <c r="C77" s="3"/>
      <c r="J77" s="2"/>
      <c r="N77" s="1"/>
      <c r="O77" s="1"/>
    </row>
    <row r="78" spans="3:15" x14ac:dyDescent="0.2">
      <c r="C78" s="3"/>
      <c r="J78" s="2"/>
      <c r="N78" s="1"/>
      <c r="O78" s="1"/>
    </row>
    <row r="79" spans="3:15" x14ac:dyDescent="0.2">
      <c r="C79" s="3"/>
      <c r="J79" s="2"/>
      <c r="N79" s="1"/>
      <c r="O79" s="1"/>
    </row>
    <row r="80" spans="3:15" x14ac:dyDescent="0.2">
      <c r="C80" s="3"/>
      <c r="J80" s="2"/>
      <c r="N80" s="1"/>
      <c r="O80" s="1"/>
    </row>
    <row r="81" spans="3:15" x14ac:dyDescent="0.2">
      <c r="C81" s="3"/>
      <c r="J81" s="2"/>
      <c r="N81" s="1"/>
      <c r="O81" s="1"/>
    </row>
    <row r="82" spans="3:15" x14ac:dyDescent="0.2">
      <c r="C82" s="3"/>
      <c r="J82" s="2"/>
      <c r="N82" s="1"/>
      <c r="O82" s="1"/>
    </row>
    <row r="83" spans="3:15" x14ac:dyDescent="0.2">
      <c r="C83" s="3"/>
      <c r="J83" s="2"/>
      <c r="N83" s="1"/>
      <c r="O83" s="1"/>
    </row>
    <row r="84" spans="3:15" x14ac:dyDescent="0.2">
      <c r="C84" s="3"/>
      <c r="J84" s="2"/>
      <c r="N84" s="1"/>
      <c r="O84" s="1"/>
    </row>
    <row r="85" spans="3:15" x14ac:dyDescent="0.2">
      <c r="C85" s="3"/>
      <c r="J85" s="2"/>
      <c r="N85" s="1"/>
      <c r="O85" s="1"/>
    </row>
    <row r="86" spans="3:15" x14ac:dyDescent="0.2">
      <c r="C86" s="3"/>
      <c r="J86" s="2"/>
      <c r="N86" s="1"/>
      <c r="O86" s="1"/>
    </row>
    <row r="87" spans="3:15" x14ac:dyDescent="0.2">
      <c r="C87" s="3"/>
      <c r="J87" s="2"/>
      <c r="N87" s="1"/>
      <c r="O87" s="1"/>
    </row>
    <row r="88" spans="3:15" x14ac:dyDescent="0.2">
      <c r="C88" s="3"/>
      <c r="J88" s="2"/>
      <c r="N88" s="1"/>
      <c r="O88" s="1"/>
    </row>
    <row r="89" spans="3:15" x14ac:dyDescent="0.2">
      <c r="C89" s="3"/>
      <c r="J89" s="2"/>
      <c r="N89" s="1"/>
      <c r="O89" s="1"/>
    </row>
    <row r="90" spans="3:15" x14ac:dyDescent="0.2">
      <c r="C90" s="3"/>
      <c r="J90" s="2"/>
      <c r="N90" s="1"/>
      <c r="O90" s="1"/>
    </row>
    <row r="91" spans="3:15" x14ac:dyDescent="0.2">
      <c r="C91" s="3"/>
      <c r="J91" s="2"/>
      <c r="N91" s="1"/>
      <c r="O91" s="1"/>
    </row>
    <row r="92" spans="3:15" x14ac:dyDescent="0.2">
      <c r="C92" s="3"/>
      <c r="J92" s="2"/>
      <c r="N92" s="1"/>
      <c r="O92" s="1"/>
    </row>
    <row r="93" spans="3:15" x14ac:dyDescent="0.2">
      <c r="C93" s="3"/>
      <c r="J93" s="2"/>
      <c r="N93" s="1"/>
      <c r="O93" s="1"/>
    </row>
    <row r="94" spans="3:15" x14ac:dyDescent="0.2">
      <c r="C94" s="3"/>
      <c r="J94" s="2"/>
      <c r="N94" s="1"/>
      <c r="O94" s="1"/>
    </row>
    <row r="95" spans="3:15" x14ac:dyDescent="0.2">
      <c r="C95" s="3"/>
      <c r="J95" s="2"/>
      <c r="N95" s="1"/>
      <c r="O95" s="1"/>
    </row>
    <row r="96" spans="3:15" x14ac:dyDescent="0.2">
      <c r="C96" s="3"/>
      <c r="J96" s="2"/>
      <c r="N96" s="1"/>
      <c r="O96" s="1"/>
    </row>
    <row r="97" spans="3:15" x14ac:dyDescent="0.2">
      <c r="C97" s="3"/>
      <c r="J97" s="2"/>
      <c r="N97" s="1"/>
      <c r="O97" s="1"/>
    </row>
    <row r="98" spans="3:15" x14ac:dyDescent="0.2">
      <c r="C98" s="3"/>
      <c r="J98" s="2"/>
      <c r="N98" s="1"/>
      <c r="O98" s="1"/>
    </row>
    <row r="99" spans="3:15" x14ac:dyDescent="0.2">
      <c r="C99" s="3"/>
      <c r="J99" s="2"/>
      <c r="N99" s="1"/>
      <c r="O99" s="1"/>
    </row>
    <row r="100" spans="3:15" x14ac:dyDescent="0.2">
      <c r="C100" s="3"/>
      <c r="J100" s="2"/>
      <c r="N100" s="1"/>
      <c r="O100" s="1"/>
    </row>
    <row r="101" spans="3:15" x14ac:dyDescent="0.2">
      <c r="C101" s="3"/>
      <c r="J101" s="2"/>
      <c r="N101" s="1"/>
      <c r="O101" s="1"/>
    </row>
    <row r="102" spans="3:15" x14ac:dyDescent="0.2">
      <c r="C102" s="3"/>
      <c r="J102" s="2"/>
      <c r="N102" s="1"/>
      <c r="O102" s="1"/>
    </row>
    <row r="103" spans="3:15" x14ac:dyDescent="0.2">
      <c r="C103" s="3"/>
      <c r="J103" s="2"/>
      <c r="N103" s="1"/>
      <c r="O103" s="1"/>
    </row>
    <row r="104" spans="3:15" x14ac:dyDescent="0.2">
      <c r="C104" s="3"/>
      <c r="J104" s="2"/>
      <c r="N104" s="1"/>
      <c r="O104" s="1"/>
    </row>
    <row r="105" spans="3:15" x14ac:dyDescent="0.2">
      <c r="C105" s="3"/>
      <c r="J105" s="2"/>
      <c r="N105" s="1"/>
      <c r="O105" s="1"/>
    </row>
    <row r="106" spans="3:15" x14ac:dyDescent="0.2">
      <c r="C106" s="3"/>
      <c r="J106" s="2"/>
      <c r="N106" s="1"/>
      <c r="O106" s="1"/>
    </row>
    <row r="107" spans="3:15" x14ac:dyDescent="0.2">
      <c r="C107" s="3"/>
      <c r="J107" s="2"/>
      <c r="N107" s="1"/>
      <c r="O107" s="1"/>
    </row>
    <row r="108" spans="3:15" x14ac:dyDescent="0.2">
      <c r="C108" s="3"/>
      <c r="J108" s="2"/>
      <c r="N108" s="1"/>
      <c r="O108" s="1"/>
    </row>
    <row r="109" spans="3:15" x14ac:dyDescent="0.2">
      <c r="C109" s="3"/>
      <c r="J109" s="2"/>
      <c r="N109" s="1"/>
      <c r="O109" s="1"/>
    </row>
    <row r="110" spans="3:15" x14ac:dyDescent="0.2">
      <c r="C110" s="3"/>
      <c r="J110" s="2"/>
      <c r="N110" s="1"/>
      <c r="O110" s="1"/>
    </row>
    <row r="111" spans="3:15" x14ac:dyDescent="0.2">
      <c r="C111" s="3"/>
      <c r="J111" s="2"/>
      <c r="N111" s="1"/>
      <c r="O111" s="1"/>
    </row>
    <row r="112" spans="3:15" x14ac:dyDescent="0.2">
      <c r="C112" s="3"/>
      <c r="J112" s="2"/>
      <c r="N112" s="1"/>
      <c r="O112" s="1"/>
    </row>
    <row r="113" spans="3:15" x14ac:dyDescent="0.2">
      <c r="C113" s="3"/>
      <c r="J113" s="2"/>
      <c r="N113" s="1"/>
      <c r="O113" s="1"/>
    </row>
    <row r="114" spans="3:15" x14ac:dyDescent="0.2">
      <c r="C114" s="3"/>
      <c r="J114" s="2"/>
      <c r="N114" s="1"/>
      <c r="O114" s="1"/>
    </row>
    <row r="115" spans="3:15" x14ac:dyDescent="0.2">
      <c r="C115" s="3"/>
      <c r="J115" s="2"/>
      <c r="N115" s="1"/>
      <c r="O115" s="1"/>
    </row>
    <row r="116" spans="3:15" x14ac:dyDescent="0.2">
      <c r="C116" s="3"/>
      <c r="J116" s="2"/>
      <c r="N116" s="1"/>
      <c r="O116" s="1"/>
    </row>
    <row r="117" spans="3:15" x14ac:dyDescent="0.2">
      <c r="C117" s="3"/>
      <c r="J117" s="2"/>
      <c r="N117" s="1"/>
      <c r="O117" s="1"/>
    </row>
    <row r="118" spans="3:15" x14ac:dyDescent="0.2">
      <c r="C118" s="3"/>
      <c r="J118" s="2"/>
      <c r="N118" s="1"/>
      <c r="O118" s="1"/>
    </row>
    <row r="119" spans="3:15" x14ac:dyDescent="0.2">
      <c r="C119" s="3"/>
      <c r="J119" s="2"/>
      <c r="N119" s="1"/>
      <c r="O119" s="1"/>
    </row>
    <row r="120" spans="3:15" x14ac:dyDescent="0.2">
      <c r="C120" s="3"/>
      <c r="J120" s="2"/>
      <c r="N120" s="1"/>
      <c r="O120" s="1"/>
    </row>
    <row r="121" spans="3:15" x14ac:dyDescent="0.2">
      <c r="C121" s="3"/>
      <c r="J121" s="2"/>
      <c r="N121" s="1"/>
      <c r="O121" s="1"/>
    </row>
  </sheetData>
  <mergeCells count="1">
    <mergeCell ref="A3:E3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795E5-85E4-449B-B2B9-BC49618FEB6C}">
  <sheetPr codeName="Sheet2"/>
  <dimension ref="A1:AE117"/>
  <sheetViews>
    <sheetView tabSelected="1" zoomScale="130" zoomScaleNormal="130" workbookViewId="0">
      <selection activeCell="P21" sqref="P21"/>
    </sheetView>
  </sheetViews>
  <sheetFormatPr defaultRowHeight="14.25" x14ac:dyDescent="0.2"/>
  <cols>
    <col min="1" max="1" width="9.125" customWidth="1"/>
    <col min="2" max="2" width="20.625" customWidth="1"/>
    <col min="3" max="3" width="17.5" style="3" customWidth="1"/>
    <col min="4" max="4" width="6.25" customWidth="1"/>
    <col min="5" max="5" width="25.875" customWidth="1"/>
    <col min="6" max="6" width="13" customWidth="1"/>
    <col min="7" max="7" width="14" customWidth="1"/>
    <col min="8" max="8" width="14.375" hidden="1" customWidth="1"/>
    <col min="9" max="9" width="17.375" hidden="1" customWidth="1"/>
    <col min="10" max="10" width="13" style="2" hidden="1" customWidth="1"/>
    <col min="11" max="11" width="15.375" hidden="1" customWidth="1"/>
    <col min="12" max="13" width="10.5" customWidth="1"/>
    <col min="14" max="14" width="9.5" style="1" hidden="1" customWidth="1"/>
    <col min="15" max="15" width="0" hidden="1" customWidth="1"/>
  </cols>
  <sheetData>
    <row r="1" spans="1:31" x14ac:dyDescent="0.2">
      <c r="A1" t="s">
        <v>0</v>
      </c>
      <c r="B1" t="s">
        <v>1</v>
      </c>
      <c r="C1" s="3" t="s">
        <v>40</v>
      </c>
      <c r="D1" t="s">
        <v>33</v>
      </c>
      <c r="E1" t="s">
        <v>32</v>
      </c>
      <c r="F1" t="s">
        <v>25</v>
      </c>
      <c r="G1" t="s">
        <v>2</v>
      </c>
      <c r="H1" t="s">
        <v>24</v>
      </c>
      <c r="I1" t="s">
        <v>3</v>
      </c>
      <c r="J1" s="2" t="s">
        <v>4</v>
      </c>
      <c r="K1" t="s">
        <v>5</v>
      </c>
      <c r="L1" t="s">
        <v>6</v>
      </c>
      <c r="M1" t="s">
        <v>15</v>
      </c>
      <c r="N1" s="1" t="s">
        <v>7</v>
      </c>
      <c r="O1" t="s">
        <v>8</v>
      </c>
      <c r="P1" t="s">
        <v>13</v>
      </c>
    </row>
    <row r="2" spans="1:31" x14ac:dyDescent="0.2">
      <c r="A2">
        <v>1</v>
      </c>
      <c r="B2" t="s">
        <v>211</v>
      </c>
      <c r="C2" s="3" t="s">
        <v>212</v>
      </c>
      <c r="D2" t="s">
        <v>210</v>
      </c>
      <c r="E2" t="s">
        <v>213</v>
      </c>
      <c r="F2" t="s">
        <v>214</v>
      </c>
      <c r="G2" t="str">
        <f>IF(F2="lc","深圳立创商城","深圳优信电子")</f>
        <v>深圳立创商城</v>
      </c>
      <c r="L2">
        <f>SUMIFS(入库序列!E:E,入库序列!B:B,A2)-SUMIFS(出库序列!E:E,出库序列!B:B,A2)</f>
        <v>30</v>
      </c>
      <c r="M2" t="s">
        <v>16</v>
      </c>
      <c r="N2" s="1">
        <v>1.9</v>
      </c>
      <c r="O2" s="1">
        <f>N2*L2</f>
        <v>57</v>
      </c>
      <c r="P2" t="s">
        <v>210</v>
      </c>
    </row>
    <row r="3" spans="1:31" x14ac:dyDescent="0.2">
      <c r="A3">
        <v>2</v>
      </c>
      <c r="B3" t="s">
        <v>215</v>
      </c>
      <c r="C3" s="3" t="s">
        <v>212</v>
      </c>
      <c r="D3" t="s">
        <v>210</v>
      </c>
      <c r="E3" t="s">
        <v>213</v>
      </c>
      <c r="F3" t="s">
        <v>214</v>
      </c>
      <c r="G3" t="str">
        <f t="shared" ref="G3:G51" si="0">IF(F3="lc","深圳立创商城","深圳优信电子")</f>
        <v>深圳立创商城</v>
      </c>
      <c r="L3">
        <f>SUMIFS(入库序列!E:E,入库序列!B:B,A3)-SUMIFS(出库序列!E:E,出库序列!B:B,A3)</f>
        <v>110</v>
      </c>
      <c r="M3" t="s">
        <v>16</v>
      </c>
      <c r="N3" s="1">
        <v>1.9</v>
      </c>
      <c r="O3" s="1">
        <f t="shared" ref="O3:O44" si="1">N3*L3</f>
        <v>209</v>
      </c>
      <c r="P3" t="s">
        <v>210</v>
      </c>
    </row>
    <row r="4" spans="1:31" x14ac:dyDescent="0.2">
      <c r="A4">
        <v>3</v>
      </c>
      <c r="B4" t="s">
        <v>216</v>
      </c>
      <c r="C4" s="3" t="s">
        <v>218</v>
      </c>
      <c r="D4" t="s">
        <v>210</v>
      </c>
      <c r="E4" t="s">
        <v>213</v>
      </c>
      <c r="F4" t="s">
        <v>214</v>
      </c>
      <c r="G4" t="str">
        <f t="shared" si="0"/>
        <v>深圳立创商城</v>
      </c>
      <c r="L4">
        <f>SUMIFS(入库序列!E:E,入库序列!B:B,A4)-SUMIFS(出库序列!E:E,出库序列!B:B,A4)</f>
        <v>22</v>
      </c>
      <c r="M4" t="s">
        <v>16</v>
      </c>
      <c r="N4" s="1">
        <v>0.06</v>
      </c>
      <c r="O4" s="1">
        <f t="shared" si="1"/>
        <v>1.3199999999999998</v>
      </c>
      <c r="P4" t="s">
        <v>210</v>
      </c>
    </row>
    <row r="5" spans="1:31" x14ac:dyDescent="0.2">
      <c r="A5">
        <v>4</v>
      </c>
      <c r="B5" t="s">
        <v>219</v>
      </c>
      <c r="C5" s="3" t="s">
        <v>218</v>
      </c>
      <c r="D5" t="s">
        <v>210</v>
      </c>
      <c r="E5" t="s">
        <v>213</v>
      </c>
      <c r="F5" t="s">
        <v>214</v>
      </c>
      <c r="G5" t="str">
        <f t="shared" si="0"/>
        <v>深圳立创商城</v>
      </c>
      <c r="L5">
        <f>SUMIFS(入库序列!E:E,入库序列!B:B,A5)-SUMIFS(出库序列!E:E,出库序列!B:B,A5)</f>
        <v>31</v>
      </c>
      <c r="M5" t="s">
        <v>16</v>
      </c>
      <c r="N5" s="1">
        <v>1.7</v>
      </c>
      <c r="O5" s="1">
        <f t="shared" si="1"/>
        <v>52.699999999999996</v>
      </c>
      <c r="P5" t="s">
        <v>210</v>
      </c>
    </row>
    <row r="6" spans="1:31" x14ac:dyDescent="0.2">
      <c r="A6">
        <v>5</v>
      </c>
      <c r="B6" t="s">
        <v>220</v>
      </c>
      <c r="C6" s="3" t="s">
        <v>218</v>
      </c>
      <c r="D6" t="s">
        <v>210</v>
      </c>
      <c r="E6" t="s">
        <v>213</v>
      </c>
      <c r="F6" t="s">
        <v>214</v>
      </c>
      <c r="G6" t="str">
        <f t="shared" si="0"/>
        <v>深圳立创商城</v>
      </c>
      <c r="L6">
        <f>SUMIFS(入库序列!E:E,入库序列!B:B,A6)-SUMIFS(出库序列!E:E,出库序列!B:B,A6)</f>
        <v>5</v>
      </c>
      <c r="M6" t="s">
        <v>16</v>
      </c>
      <c r="N6" s="1">
        <v>1.7</v>
      </c>
      <c r="O6" s="1">
        <f t="shared" si="1"/>
        <v>8.5</v>
      </c>
      <c r="P6" t="s">
        <v>210</v>
      </c>
    </row>
    <row r="7" spans="1:31" x14ac:dyDescent="0.2">
      <c r="A7">
        <v>6</v>
      </c>
      <c r="B7" t="s">
        <v>221</v>
      </c>
      <c r="C7" s="3" t="s">
        <v>218</v>
      </c>
      <c r="D7" t="s">
        <v>210</v>
      </c>
      <c r="E7" t="s">
        <v>213</v>
      </c>
      <c r="F7" t="s">
        <v>214</v>
      </c>
      <c r="G7" t="str">
        <f t="shared" si="0"/>
        <v>深圳立创商城</v>
      </c>
      <c r="L7">
        <f>SUMIFS(入库序列!E:E,入库序列!B:B,A7)-SUMIFS(出库序列!E:E,出库序列!B:B,A7)</f>
        <v>5</v>
      </c>
      <c r="M7" t="s">
        <v>16</v>
      </c>
      <c r="N7" s="1">
        <v>0.24</v>
      </c>
      <c r="O7" s="1">
        <f t="shared" si="1"/>
        <v>1.2</v>
      </c>
      <c r="P7" t="s">
        <v>210</v>
      </c>
    </row>
    <row r="8" spans="1:31" x14ac:dyDescent="0.2">
      <c r="A8">
        <v>7</v>
      </c>
      <c r="B8" t="s">
        <v>222</v>
      </c>
      <c r="C8" s="3" t="s">
        <v>217</v>
      </c>
      <c r="D8" t="s">
        <v>210</v>
      </c>
      <c r="E8" t="s">
        <v>213</v>
      </c>
      <c r="F8" t="s">
        <v>214</v>
      </c>
      <c r="G8" t="str">
        <f t="shared" si="0"/>
        <v>深圳立创商城</v>
      </c>
      <c r="L8">
        <f>SUMIFS(入库序列!E:E,入库序列!B:B,A8)-SUMIFS(出库序列!E:E,出库序列!B:B,A8)</f>
        <v>8</v>
      </c>
      <c r="M8" t="s">
        <v>16</v>
      </c>
      <c r="N8" s="1">
        <v>0.44</v>
      </c>
      <c r="O8" s="1">
        <f t="shared" si="1"/>
        <v>3.52</v>
      </c>
      <c r="P8" t="s">
        <v>210</v>
      </c>
    </row>
    <row r="9" spans="1:31" x14ac:dyDescent="0.2">
      <c r="A9">
        <v>8</v>
      </c>
      <c r="B9" t="s">
        <v>223</v>
      </c>
      <c r="C9" s="3" t="s">
        <v>217</v>
      </c>
      <c r="D9" t="s">
        <v>210</v>
      </c>
      <c r="E9" t="s">
        <v>213</v>
      </c>
      <c r="F9" t="s">
        <v>214</v>
      </c>
      <c r="G9" t="str">
        <f t="shared" si="0"/>
        <v>深圳立创商城</v>
      </c>
      <c r="L9">
        <f>SUMIFS(入库序列!E:E,入库序列!B:B,A9)-SUMIFS(出库序列!E:E,出库序列!B:B,A9)</f>
        <v>5</v>
      </c>
      <c r="M9" t="s">
        <v>16</v>
      </c>
      <c r="N9" s="1">
        <v>0.47</v>
      </c>
      <c r="O9" s="1">
        <f t="shared" si="1"/>
        <v>2.3499999999999996</v>
      </c>
      <c r="P9" t="s">
        <v>210</v>
      </c>
    </row>
    <row r="10" spans="1:31" x14ac:dyDescent="0.2">
      <c r="A10">
        <v>9</v>
      </c>
      <c r="B10" t="s">
        <v>224</v>
      </c>
      <c r="C10" s="3" t="s">
        <v>217</v>
      </c>
      <c r="D10" t="s">
        <v>210</v>
      </c>
      <c r="E10" t="s">
        <v>213</v>
      </c>
      <c r="F10" t="s">
        <v>214</v>
      </c>
      <c r="G10" t="str">
        <f t="shared" si="0"/>
        <v>深圳立创商城</v>
      </c>
      <c r="L10">
        <f>SUMIFS(入库序列!E:E,入库序列!B:B,A10)-SUMIFS(出库序列!E:E,出库序列!B:B,A10)</f>
        <v>25</v>
      </c>
      <c r="M10" t="s">
        <v>16</v>
      </c>
      <c r="N10" s="1">
        <v>3.05</v>
      </c>
      <c r="O10" s="1">
        <f t="shared" si="1"/>
        <v>76.25</v>
      </c>
      <c r="P10" t="s">
        <v>210</v>
      </c>
    </row>
    <row r="11" spans="1:31" x14ac:dyDescent="0.2">
      <c r="A11">
        <v>10</v>
      </c>
      <c r="B11" t="s">
        <v>225</v>
      </c>
      <c r="C11" s="3" t="s">
        <v>226</v>
      </c>
      <c r="D11" t="s">
        <v>210</v>
      </c>
      <c r="E11" t="s">
        <v>213</v>
      </c>
      <c r="F11" t="s">
        <v>214</v>
      </c>
      <c r="G11" t="str">
        <f t="shared" si="0"/>
        <v>深圳立创商城</v>
      </c>
      <c r="L11">
        <f>SUMIFS(入库序列!E:E,入库序列!B:B,A11)-SUMIFS(出库序列!E:E,出库序列!B:B,A11)</f>
        <v>4</v>
      </c>
      <c r="M11" t="s">
        <v>16</v>
      </c>
      <c r="N11" s="1">
        <v>0.44</v>
      </c>
      <c r="O11" s="1">
        <f t="shared" si="1"/>
        <v>1.76</v>
      </c>
      <c r="P11" t="s">
        <v>210</v>
      </c>
    </row>
    <row r="12" spans="1:31" x14ac:dyDescent="0.2">
      <c r="A12">
        <v>11</v>
      </c>
      <c r="G12" t="str">
        <f t="shared" si="0"/>
        <v>深圳优信电子</v>
      </c>
      <c r="L12">
        <f>SUMIFS(入库序列!E:E,入库序列!B:B,A12)-SUMIFS(出库序列!E:E,出库序列!B:B,A12)</f>
        <v>0</v>
      </c>
      <c r="M12" t="s">
        <v>16</v>
      </c>
      <c r="N12" s="1">
        <v>0.62</v>
      </c>
      <c r="O12" s="1">
        <f t="shared" si="1"/>
        <v>0</v>
      </c>
    </row>
    <row r="13" spans="1:31" x14ac:dyDescent="0.2">
      <c r="A13">
        <v>12</v>
      </c>
      <c r="G13" t="str">
        <f t="shared" si="0"/>
        <v>深圳优信电子</v>
      </c>
      <c r="L13">
        <f>SUMIFS(入库序列!E:E,入库序列!B:B,A13)-SUMIFS(出库序列!E:E,出库序列!B:B,A13)</f>
        <v>0</v>
      </c>
      <c r="M13" t="s">
        <v>16</v>
      </c>
      <c r="N13" s="1">
        <v>5.3999999999999999E-2</v>
      </c>
      <c r="O13" s="1">
        <f t="shared" si="1"/>
        <v>0</v>
      </c>
    </row>
    <row r="14" spans="1:31" x14ac:dyDescent="0.2">
      <c r="A14">
        <v>13</v>
      </c>
      <c r="G14" t="str">
        <f t="shared" si="0"/>
        <v>深圳优信电子</v>
      </c>
      <c r="L14">
        <f>SUMIFS(入库序列!E:E,入库序列!B:B,A14)-SUMIFS(出库序列!E:E,出库序列!B:B,A14)</f>
        <v>0</v>
      </c>
      <c r="M14" t="s">
        <v>16</v>
      </c>
      <c r="N14" s="1">
        <v>0.40500000000000003</v>
      </c>
      <c r="O14" s="1">
        <f t="shared" si="1"/>
        <v>0</v>
      </c>
      <c r="S14" s="3"/>
      <c r="Z14" s="2"/>
      <c r="AD14" s="1"/>
    </row>
    <row r="15" spans="1:31" x14ac:dyDescent="0.2">
      <c r="A15">
        <v>14</v>
      </c>
      <c r="G15" t="str">
        <f t="shared" si="0"/>
        <v>深圳优信电子</v>
      </c>
      <c r="L15">
        <f>SUMIFS(入库序列!E:E,入库序列!B:B,A15)-SUMIFS(出库序列!E:E,出库序列!B:B,A15)</f>
        <v>0</v>
      </c>
      <c r="M15" t="s">
        <v>16</v>
      </c>
      <c r="N15" s="1">
        <v>0.28000000000000003</v>
      </c>
      <c r="O15" s="1">
        <f t="shared" si="1"/>
        <v>0</v>
      </c>
      <c r="S15" s="3"/>
      <c r="Z15" s="2"/>
      <c r="AD15" s="1"/>
      <c r="AE15" s="1"/>
    </row>
    <row r="16" spans="1:31" x14ac:dyDescent="0.2">
      <c r="A16">
        <v>15</v>
      </c>
      <c r="G16" t="str">
        <f t="shared" si="0"/>
        <v>深圳优信电子</v>
      </c>
      <c r="L16">
        <f>SUMIFS(入库序列!E:E,入库序列!B:B,A16)-SUMIFS(出库序列!E:E,出库序列!B:B,A16)</f>
        <v>0</v>
      </c>
      <c r="M16" t="s">
        <v>16</v>
      </c>
      <c r="N16" s="1">
        <v>0.20399999999999999</v>
      </c>
      <c r="O16" s="1">
        <f t="shared" si="1"/>
        <v>0</v>
      </c>
    </row>
    <row r="17" spans="1:15" x14ac:dyDescent="0.2">
      <c r="A17">
        <v>16</v>
      </c>
      <c r="G17" t="str">
        <f t="shared" si="0"/>
        <v>深圳优信电子</v>
      </c>
      <c r="L17">
        <f>SUMIFS(入库序列!E:E,入库序列!B:B,A17)-SUMIFS(出库序列!E:E,出库序列!B:B,A17)</f>
        <v>0</v>
      </c>
      <c r="M17" t="s">
        <v>16</v>
      </c>
      <c r="N17" s="1">
        <v>1.157</v>
      </c>
      <c r="O17" s="1">
        <f t="shared" si="1"/>
        <v>0</v>
      </c>
    </row>
    <row r="18" spans="1:15" x14ac:dyDescent="0.2">
      <c r="A18">
        <v>17</v>
      </c>
      <c r="G18" t="str">
        <f t="shared" si="0"/>
        <v>深圳优信电子</v>
      </c>
      <c r="L18">
        <f>SUMIFS(入库序列!E:E,入库序列!B:B,A18)-SUMIFS(出库序列!E:E,出库序列!B:B,A18)</f>
        <v>0</v>
      </c>
      <c r="M18" t="s">
        <v>70</v>
      </c>
      <c r="N18" s="1">
        <v>4.53</v>
      </c>
      <c r="O18" s="1">
        <f t="shared" si="1"/>
        <v>0</v>
      </c>
    </row>
    <row r="19" spans="1:15" x14ac:dyDescent="0.2">
      <c r="A19">
        <v>18</v>
      </c>
      <c r="G19" t="str">
        <f t="shared" si="0"/>
        <v>深圳优信电子</v>
      </c>
      <c r="L19">
        <f>SUMIFS(入库序列!E:E,入库序列!B:B,A19)-SUMIFS(出库序列!E:E,出库序列!B:B,A19)</f>
        <v>0</v>
      </c>
      <c r="M19" t="s">
        <v>16</v>
      </c>
      <c r="N19" s="1">
        <v>0.96579999999999999</v>
      </c>
      <c r="O19" s="1">
        <f t="shared" si="1"/>
        <v>0</v>
      </c>
    </row>
    <row r="20" spans="1:15" x14ac:dyDescent="0.2">
      <c r="A20">
        <v>19</v>
      </c>
      <c r="G20" t="str">
        <f t="shared" si="0"/>
        <v>深圳优信电子</v>
      </c>
      <c r="L20">
        <f>SUMIFS(入库序列!E:E,入库序列!B:B,A20)-SUMIFS(出库序列!E:E,出库序列!B:B,A20)</f>
        <v>0</v>
      </c>
      <c r="M20" t="s">
        <v>16</v>
      </c>
      <c r="N20" s="1">
        <v>0.31</v>
      </c>
      <c r="O20" s="1">
        <f t="shared" si="1"/>
        <v>0</v>
      </c>
    </row>
    <row r="21" spans="1:15" x14ac:dyDescent="0.2">
      <c r="A21">
        <v>20</v>
      </c>
      <c r="G21" t="str">
        <f t="shared" si="0"/>
        <v>深圳优信电子</v>
      </c>
      <c r="L21">
        <f>SUMIFS(入库序列!E:E,入库序列!B:B,A21)-SUMIFS(出库序列!E:E,出库序列!B:B,A21)</f>
        <v>0</v>
      </c>
      <c r="M21" t="s">
        <v>16</v>
      </c>
      <c r="N21" s="1">
        <v>4.4999999999999997E-3</v>
      </c>
      <c r="O21" s="1">
        <f t="shared" si="1"/>
        <v>0</v>
      </c>
    </row>
    <row r="22" spans="1:15" x14ac:dyDescent="0.2">
      <c r="A22">
        <v>21</v>
      </c>
      <c r="G22" t="str">
        <f t="shared" si="0"/>
        <v>深圳优信电子</v>
      </c>
      <c r="L22">
        <f>SUMIFS(入库序列!E:E,入库序列!B:B,A22)-SUMIFS(出库序列!E:E,出库序列!B:B,A22)</f>
        <v>0</v>
      </c>
      <c r="M22" t="s">
        <v>16</v>
      </c>
      <c r="N22" s="1">
        <v>0.75029999999999997</v>
      </c>
      <c r="O22" s="1">
        <f t="shared" si="1"/>
        <v>0</v>
      </c>
    </row>
    <row r="23" spans="1:15" x14ac:dyDescent="0.2">
      <c r="A23">
        <v>22</v>
      </c>
      <c r="G23" t="str">
        <f t="shared" si="0"/>
        <v>深圳优信电子</v>
      </c>
      <c r="L23">
        <f>SUMIFS(入库序列!E:E,入库序列!B:B,A23)-SUMIFS(出库序列!E:E,出库序列!B:B,A23)</f>
        <v>0</v>
      </c>
      <c r="M23" t="s">
        <v>16</v>
      </c>
      <c r="N23" s="1">
        <v>0.224</v>
      </c>
      <c r="O23" s="1">
        <f t="shared" si="1"/>
        <v>0</v>
      </c>
    </row>
    <row r="24" spans="1:15" x14ac:dyDescent="0.2">
      <c r="A24">
        <v>23</v>
      </c>
      <c r="G24" t="str">
        <f t="shared" si="0"/>
        <v>深圳优信电子</v>
      </c>
      <c r="L24">
        <f>SUMIFS(入库序列!E:E,入库序列!B:B,A24)-SUMIFS(出库序列!E:E,出库序列!B:B,A24)</f>
        <v>0</v>
      </c>
      <c r="M24" t="s">
        <v>16</v>
      </c>
      <c r="N24" s="1">
        <v>7.0000000000000007E-2</v>
      </c>
      <c r="O24" s="1">
        <f t="shared" si="1"/>
        <v>0</v>
      </c>
    </row>
    <row r="25" spans="1:15" x14ac:dyDescent="0.2">
      <c r="A25">
        <v>24</v>
      </c>
      <c r="G25" t="str">
        <f t="shared" si="0"/>
        <v>深圳优信电子</v>
      </c>
      <c r="L25">
        <f>SUMIFS(入库序列!E:E,入库序列!B:B,A25)-SUMIFS(出库序列!E:E,出库序列!B:B,A25)</f>
        <v>0</v>
      </c>
      <c r="M25" t="s">
        <v>16</v>
      </c>
      <c r="N25" s="1">
        <v>0.504</v>
      </c>
      <c r="O25" s="1">
        <f t="shared" si="1"/>
        <v>0</v>
      </c>
    </row>
    <row r="26" spans="1:15" x14ac:dyDescent="0.2">
      <c r="A26">
        <v>25</v>
      </c>
      <c r="G26" t="str">
        <f t="shared" si="0"/>
        <v>深圳优信电子</v>
      </c>
      <c r="L26">
        <f>SUMIFS(入库序列!E:E,入库序列!B:B,A26)-SUMIFS(出库序列!E:E,出库序列!B:B,A26)</f>
        <v>0</v>
      </c>
      <c r="M26" t="s">
        <v>16</v>
      </c>
      <c r="N26" s="1">
        <v>0.1</v>
      </c>
      <c r="O26" s="1">
        <f t="shared" si="1"/>
        <v>0</v>
      </c>
    </row>
    <row r="27" spans="1:15" x14ac:dyDescent="0.2">
      <c r="A27">
        <v>26</v>
      </c>
      <c r="G27" t="str">
        <f t="shared" si="0"/>
        <v>深圳优信电子</v>
      </c>
      <c r="L27">
        <f>SUMIFS(入库序列!E:E,入库序列!B:B,A27)-SUMIFS(出库序列!E:E,出库序列!B:B,A27)</f>
        <v>0</v>
      </c>
      <c r="M27" t="s">
        <v>70</v>
      </c>
      <c r="N27" s="1">
        <v>0.3</v>
      </c>
      <c r="O27" s="1">
        <f t="shared" si="1"/>
        <v>0</v>
      </c>
    </row>
    <row r="28" spans="1:15" x14ac:dyDescent="0.2">
      <c r="A28">
        <v>27</v>
      </c>
      <c r="G28" t="str">
        <f t="shared" si="0"/>
        <v>深圳优信电子</v>
      </c>
      <c r="L28">
        <f>SUMIFS(入库序列!E:E,入库序列!B:B,A28)-SUMIFS(出库序列!E:E,出库序列!B:B,A28)</f>
        <v>0</v>
      </c>
      <c r="M28" t="s">
        <v>16</v>
      </c>
      <c r="N28" s="1">
        <v>0.43</v>
      </c>
      <c r="O28" s="1">
        <f t="shared" si="1"/>
        <v>0</v>
      </c>
    </row>
    <row r="29" spans="1:15" x14ac:dyDescent="0.2">
      <c r="A29">
        <v>28</v>
      </c>
      <c r="G29" t="str">
        <f t="shared" si="0"/>
        <v>深圳优信电子</v>
      </c>
      <c r="L29">
        <f>SUMIFS(入库序列!E:E,入库序列!B:B,A29)-SUMIFS(出库序列!E:E,出库序列!B:B,A29)</f>
        <v>0</v>
      </c>
      <c r="M29" t="s">
        <v>16</v>
      </c>
      <c r="N29" s="1">
        <v>0.05</v>
      </c>
      <c r="O29" s="1">
        <f t="shared" si="1"/>
        <v>0</v>
      </c>
    </row>
    <row r="30" spans="1:15" x14ac:dyDescent="0.2">
      <c r="A30">
        <v>29</v>
      </c>
      <c r="G30" t="str">
        <f t="shared" si="0"/>
        <v>深圳优信电子</v>
      </c>
      <c r="L30">
        <f>SUMIFS(入库序列!E:E,入库序列!B:B,A30)-SUMIFS(出库序列!E:E,出库序列!B:B,A30)</f>
        <v>0</v>
      </c>
      <c r="M30" t="s">
        <v>16</v>
      </c>
      <c r="N30" s="1">
        <v>0.04</v>
      </c>
      <c r="O30" s="1">
        <f t="shared" si="1"/>
        <v>0</v>
      </c>
    </row>
    <row r="31" spans="1:15" x14ac:dyDescent="0.2">
      <c r="A31">
        <v>30</v>
      </c>
      <c r="G31" t="str">
        <f t="shared" si="0"/>
        <v>深圳优信电子</v>
      </c>
      <c r="L31">
        <f>SUMIFS(入库序列!E:E,入库序列!B:B,A31)-SUMIFS(出库序列!E:E,出库序列!B:B,A31)</f>
        <v>0</v>
      </c>
      <c r="M31" t="s">
        <v>105</v>
      </c>
      <c r="N31" s="1">
        <v>0.6</v>
      </c>
      <c r="O31" s="1">
        <f t="shared" si="1"/>
        <v>0</v>
      </c>
    </row>
    <row r="32" spans="1:15" x14ac:dyDescent="0.2">
      <c r="A32">
        <v>31</v>
      </c>
      <c r="G32" t="str">
        <f t="shared" si="0"/>
        <v>深圳优信电子</v>
      </c>
      <c r="L32">
        <f>SUMIFS(入库序列!E:E,入库序列!B:B,A32)-SUMIFS(出库序列!E:E,出库序列!B:B,A32)</f>
        <v>0</v>
      </c>
      <c r="M32" t="s">
        <v>70</v>
      </c>
      <c r="N32" s="1">
        <v>1</v>
      </c>
      <c r="O32" s="1">
        <f t="shared" si="1"/>
        <v>0</v>
      </c>
    </row>
    <row r="33" spans="1:15" x14ac:dyDescent="0.2">
      <c r="A33">
        <v>32</v>
      </c>
      <c r="G33" t="str">
        <f t="shared" si="0"/>
        <v>深圳优信电子</v>
      </c>
      <c r="L33">
        <f>SUMIFS(入库序列!E:E,入库序列!B:B,A33)-SUMIFS(出库序列!E:E,出库序列!B:B,A33)</f>
        <v>0</v>
      </c>
      <c r="M33" t="s">
        <v>16</v>
      </c>
      <c r="N33" s="1">
        <v>1</v>
      </c>
      <c r="O33" s="1">
        <f t="shared" si="1"/>
        <v>0</v>
      </c>
    </row>
    <row r="34" spans="1:15" x14ac:dyDescent="0.2">
      <c r="A34">
        <v>33</v>
      </c>
      <c r="G34" t="str">
        <f t="shared" si="0"/>
        <v>深圳优信电子</v>
      </c>
      <c r="K34" s="2"/>
      <c r="L34">
        <f>SUMIFS(入库序列!E:E,入库序列!B:B,A34)-SUMIFS(出库序列!E:E,出库序列!B:B,A34)</f>
        <v>0</v>
      </c>
      <c r="M34" t="s">
        <v>120</v>
      </c>
      <c r="N34" s="1">
        <v>58</v>
      </c>
      <c r="O34" s="1">
        <f t="shared" si="1"/>
        <v>0</v>
      </c>
    </row>
    <row r="35" spans="1:15" x14ac:dyDescent="0.2">
      <c r="A35">
        <v>34</v>
      </c>
      <c r="G35" t="str">
        <f t="shared" si="0"/>
        <v>深圳优信电子</v>
      </c>
      <c r="K35" s="2"/>
      <c r="L35">
        <f>SUMIFS(入库序列!E:E,入库序列!B:B,A35)-SUMIFS(出库序列!E:E,出库序列!B:B,A35)</f>
        <v>0</v>
      </c>
      <c r="M35" t="s">
        <v>120</v>
      </c>
      <c r="N35" s="1">
        <v>105</v>
      </c>
      <c r="O35" s="1">
        <f t="shared" si="1"/>
        <v>0</v>
      </c>
    </row>
    <row r="36" spans="1:15" x14ac:dyDescent="0.2">
      <c r="A36">
        <v>35</v>
      </c>
      <c r="G36" t="str">
        <f t="shared" si="0"/>
        <v>深圳优信电子</v>
      </c>
      <c r="K36" s="2"/>
      <c r="L36">
        <f>SUMIFS(入库序列!E:E,入库序列!B:B,A36)-SUMIFS(出库序列!E:E,出库序列!B:B,A36)</f>
        <v>0</v>
      </c>
      <c r="M36" t="s">
        <v>120</v>
      </c>
      <c r="N36" s="1">
        <v>20</v>
      </c>
      <c r="O36" s="1">
        <f t="shared" si="1"/>
        <v>0</v>
      </c>
    </row>
    <row r="37" spans="1:15" x14ac:dyDescent="0.2">
      <c r="A37">
        <v>36</v>
      </c>
      <c r="G37" t="str">
        <f t="shared" si="0"/>
        <v>深圳优信电子</v>
      </c>
      <c r="K37" s="2"/>
      <c r="L37">
        <f>SUMIFS(入库序列!E:E,入库序列!B:B,A37)-SUMIFS(出库序列!E:E,出库序列!B:B,A37)</f>
        <v>0</v>
      </c>
      <c r="M37" t="s">
        <v>120</v>
      </c>
      <c r="N37" s="1">
        <v>30</v>
      </c>
      <c r="O37" s="1">
        <f t="shared" si="1"/>
        <v>0</v>
      </c>
    </row>
    <row r="38" spans="1:15" x14ac:dyDescent="0.2">
      <c r="A38">
        <v>37</v>
      </c>
      <c r="G38" t="str">
        <f t="shared" si="0"/>
        <v>深圳优信电子</v>
      </c>
      <c r="K38" s="2"/>
      <c r="L38">
        <f>SUMIFS(入库序列!E:E,入库序列!B:B,A38)-SUMIFS(出库序列!E:E,出库序列!B:B,A38)</f>
        <v>0</v>
      </c>
      <c r="M38" t="s">
        <v>139</v>
      </c>
      <c r="N38" s="1">
        <v>3.1</v>
      </c>
      <c r="O38" s="1">
        <f t="shared" si="1"/>
        <v>0</v>
      </c>
    </row>
    <row r="39" spans="1:15" x14ac:dyDescent="0.2">
      <c r="A39">
        <v>38</v>
      </c>
      <c r="G39" t="str">
        <f t="shared" si="0"/>
        <v>深圳优信电子</v>
      </c>
      <c r="K39" s="2"/>
      <c r="L39">
        <f>SUMIFS(入库序列!E:E,入库序列!B:B,A39)-SUMIFS(出库序列!E:E,出库序列!B:B,A39)</f>
        <v>0</v>
      </c>
      <c r="M39" t="s">
        <v>149</v>
      </c>
      <c r="N39" s="1">
        <v>0.78</v>
      </c>
      <c r="O39" s="1">
        <f t="shared" si="1"/>
        <v>0</v>
      </c>
    </row>
    <row r="40" spans="1:15" x14ac:dyDescent="0.2">
      <c r="A40">
        <v>39</v>
      </c>
      <c r="G40" t="str">
        <f t="shared" si="0"/>
        <v>深圳优信电子</v>
      </c>
      <c r="K40" s="2"/>
      <c r="L40">
        <f>SUMIFS(入库序列!E:E,入库序列!B:B,A40)-SUMIFS(出库序列!E:E,出库序列!B:B,A40)</f>
        <v>0</v>
      </c>
      <c r="M40" t="s">
        <v>149</v>
      </c>
      <c r="N40" s="1">
        <v>0.311</v>
      </c>
      <c r="O40" s="1">
        <f t="shared" si="1"/>
        <v>0</v>
      </c>
    </row>
    <row r="41" spans="1:15" x14ac:dyDescent="0.2">
      <c r="A41">
        <v>40</v>
      </c>
      <c r="G41" t="str">
        <f t="shared" si="0"/>
        <v>深圳优信电子</v>
      </c>
      <c r="K41" s="2"/>
      <c r="L41">
        <f>SUMIFS(入库序列!E:E,入库序列!B:B,A41)-SUMIFS(出库序列!E:E,出库序列!B:B,A41)</f>
        <v>0</v>
      </c>
      <c r="M41" t="s">
        <v>149</v>
      </c>
      <c r="N41" s="1">
        <v>1.1499999999999999</v>
      </c>
      <c r="O41" s="1">
        <f t="shared" si="1"/>
        <v>0</v>
      </c>
    </row>
    <row r="42" spans="1:15" x14ac:dyDescent="0.2">
      <c r="A42">
        <v>41</v>
      </c>
      <c r="G42" t="str">
        <f t="shared" si="0"/>
        <v>深圳优信电子</v>
      </c>
      <c r="K42" s="2"/>
      <c r="L42">
        <f>SUMIFS(入库序列!E:E,入库序列!B:B,A42)-SUMIFS(出库序列!E:E,出库序列!B:B,A42)</f>
        <v>0</v>
      </c>
      <c r="M42" t="s">
        <v>139</v>
      </c>
      <c r="N42" s="1">
        <v>0.16900000000000001</v>
      </c>
      <c r="O42" s="1">
        <f t="shared" si="1"/>
        <v>0</v>
      </c>
    </row>
    <row r="43" spans="1:15" x14ac:dyDescent="0.2">
      <c r="A43">
        <v>42</v>
      </c>
      <c r="G43" t="str">
        <f t="shared" si="0"/>
        <v>深圳优信电子</v>
      </c>
      <c r="K43" s="2"/>
      <c r="L43">
        <f>SUMIFS(入库序列!E:E,入库序列!B:B,A43)-SUMIFS(出库序列!E:E,出库序列!B:B,A43)</f>
        <v>0</v>
      </c>
      <c r="M43" t="s">
        <v>149</v>
      </c>
      <c r="N43" s="1">
        <v>1.43</v>
      </c>
      <c r="O43" s="1">
        <f t="shared" si="1"/>
        <v>0</v>
      </c>
    </row>
    <row r="44" spans="1:15" x14ac:dyDescent="0.2">
      <c r="A44">
        <v>43</v>
      </c>
      <c r="G44" t="str">
        <f t="shared" si="0"/>
        <v>深圳优信电子</v>
      </c>
      <c r="K44" s="2"/>
      <c r="L44">
        <f>SUMIFS(入库序列!E:E,入库序列!B:B,A44)-SUMIFS(出库序列!E:E,出库序列!B:B,A44)</f>
        <v>0</v>
      </c>
      <c r="M44" t="s">
        <v>149</v>
      </c>
      <c r="N44" s="1">
        <v>9.36</v>
      </c>
      <c r="O44" s="1">
        <f t="shared" si="1"/>
        <v>0</v>
      </c>
    </row>
    <row r="45" spans="1:15" x14ac:dyDescent="0.2">
      <c r="A45">
        <v>44</v>
      </c>
      <c r="G45" t="str">
        <f t="shared" si="0"/>
        <v>深圳优信电子</v>
      </c>
      <c r="K45" s="2"/>
      <c r="L45">
        <v>4</v>
      </c>
      <c r="M45" t="s">
        <v>181</v>
      </c>
      <c r="O45" s="1"/>
    </row>
    <row r="46" spans="1:15" x14ac:dyDescent="0.2">
      <c r="A46">
        <v>45</v>
      </c>
      <c r="G46" t="str">
        <f t="shared" si="0"/>
        <v>深圳优信电子</v>
      </c>
      <c r="K46" s="2"/>
      <c r="L46">
        <v>4</v>
      </c>
      <c r="M46" t="s">
        <v>181</v>
      </c>
      <c r="O46" s="1"/>
    </row>
    <row r="47" spans="1:15" x14ac:dyDescent="0.2">
      <c r="A47">
        <v>46</v>
      </c>
      <c r="G47" t="str">
        <f t="shared" si="0"/>
        <v>深圳优信电子</v>
      </c>
      <c r="K47" s="2"/>
      <c r="L47">
        <v>10</v>
      </c>
      <c r="M47" t="s">
        <v>181</v>
      </c>
      <c r="O47" s="1"/>
    </row>
    <row r="48" spans="1:15" x14ac:dyDescent="0.2">
      <c r="A48">
        <v>47</v>
      </c>
      <c r="G48" t="str">
        <f t="shared" si="0"/>
        <v>深圳优信电子</v>
      </c>
      <c r="K48" s="2"/>
      <c r="L48">
        <v>1</v>
      </c>
      <c r="M48" t="s">
        <v>181</v>
      </c>
      <c r="O48" s="1"/>
    </row>
    <row r="49" spans="1:15" x14ac:dyDescent="0.2">
      <c r="A49">
        <v>48</v>
      </c>
      <c r="G49" t="str">
        <f t="shared" si="0"/>
        <v>深圳优信电子</v>
      </c>
      <c r="K49" s="2"/>
      <c r="L49">
        <v>10</v>
      </c>
      <c r="M49" t="s">
        <v>181</v>
      </c>
      <c r="O49" s="1"/>
    </row>
    <row r="50" spans="1:15" x14ac:dyDescent="0.2">
      <c r="A50">
        <v>49</v>
      </c>
      <c r="G50" t="str">
        <f t="shared" si="0"/>
        <v>深圳优信电子</v>
      </c>
      <c r="K50" s="2"/>
      <c r="L50">
        <v>6</v>
      </c>
      <c r="M50" t="s">
        <v>181</v>
      </c>
      <c r="O50" s="1"/>
    </row>
    <row r="51" spans="1:15" x14ac:dyDescent="0.2">
      <c r="A51">
        <v>50</v>
      </c>
      <c r="G51" t="str">
        <f t="shared" si="0"/>
        <v>深圳优信电子</v>
      </c>
      <c r="K51" s="2"/>
      <c r="L51">
        <v>2</v>
      </c>
      <c r="M51" t="s">
        <v>181</v>
      </c>
      <c r="O51" s="1"/>
    </row>
    <row r="52" spans="1:15" x14ac:dyDescent="0.2">
      <c r="O52" s="1"/>
    </row>
    <row r="53" spans="1:15" x14ac:dyDescent="0.2">
      <c r="O53" s="1"/>
    </row>
    <row r="54" spans="1:15" x14ac:dyDescent="0.2">
      <c r="O54" s="1"/>
    </row>
    <row r="55" spans="1:15" x14ac:dyDescent="0.2">
      <c r="O55" s="1"/>
    </row>
    <row r="56" spans="1:15" x14ac:dyDescent="0.2">
      <c r="O56" s="1"/>
    </row>
    <row r="57" spans="1:15" x14ac:dyDescent="0.2">
      <c r="O57" s="1"/>
    </row>
    <row r="58" spans="1:15" x14ac:dyDescent="0.2">
      <c r="O58" s="1"/>
    </row>
    <row r="59" spans="1:15" x14ac:dyDescent="0.2">
      <c r="O59" s="1"/>
    </row>
    <row r="60" spans="1:15" x14ac:dyDescent="0.2">
      <c r="O60" s="1"/>
    </row>
    <row r="61" spans="1:15" x14ac:dyDescent="0.2">
      <c r="O61" s="1"/>
    </row>
    <row r="62" spans="1:15" x14ac:dyDescent="0.2">
      <c r="O62" s="1"/>
    </row>
    <row r="63" spans="1:15" x14ac:dyDescent="0.2">
      <c r="O63" s="1"/>
    </row>
    <row r="64" spans="1:15" x14ac:dyDescent="0.2">
      <c r="O64" s="1"/>
    </row>
    <row r="65" spans="15:15" x14ac:dyDescent="0.2">
      <c r="O65" s="1"/>
    </row>
    <row r="66" spans="15:15" x14ac:dyDescent="0.2">
      <c r="O66" s="1"/>
    </row>
    <row r="67" spans="15:15" x14ac:dyDescent="0.2">
      <c r="O67" s="1"/>
    </row>
    <row r="68" spans="15:15" x14ac:dyDescent="0.2">
      <c r="O68" s="1"/>
    </row>
    <row r="69" spans="15:15" x14ac:dyDescent="0.2">
      <c r="O69" s="1"/>
    </row>
    <row r="70" spans="15:15" x14ac:dyDescent="0.2">
      <c r="O70" s="1"/>
    </row>
    <row r="71" spans="15:15" x14ac:dyDescent="0.2">
      <c r="O71" s="1"/>
    </row>
    <row r="72" spans="15:15" x14ac:dyDescent="0.2">
      <c r="O72" s="1"/>
    </row>
    <row r="73" spans="15:15" x14ac:dyDescent="0.2">
      <c r="O73" s="1"/>
    </row>
    <row r="74" spans="15:15" x14ac:dyDescent="0.2">
      <c r="O74" s="1"/>
    </row>
    <row r="75" spans="15:15" x14ac:dyDescent="0.2">
      <c r="O75" s="1"/>
    </row>
    <row r="76" spans="15:15" x14ac:dyDescent="0.2">
      <c r="O76" s="1"/>
    </row>
    <row r="77" spans="15:15" x14ac:dyDescent="0.2">
      <c r="O77" s="1"/>
    </row>
    <row r="78" spans="15:15" x14ac:dyDescent="0.2">
      <c r="O78" s="1"/>
    </row>
    <row r="79" spans="15:15" x14ac:dyDescent="0.2">
      <c r="O79" s="1"/>
    </row>
    <row r="80" spans="15:15" x14ac:dyDescent="0.2">
      <c r="O80" s="1"/>
    </row>
    <row r="81" spans="15:15" x14ac:dyDescent="0.2">
      <c r="O81" s="1"/>
    </row>
    <row r="82" spans="15:15" x14ac:dyDescent="0.2">
      <c r="O82" s="1"/>
    </row>
    <row r="83" spans="15:15" x14ac:dyDescent="0.2">
      <c r="O83" s="1"/>
    </row>
    <row r="84" spans="15:15" x14ac:dyDescent="0.2">
      <c r="O84" s="1"/>
    </row>
    <row r="85" spans="15:15" x14ac:dyDescent="0.2">
      <c r="O85" s="1"/>
    </row>
    <row r="86" spans="15:15" x14ac:dyDescent="0.2">
      <c r="O86" s="1"/>
    </row>
    <row r="87" spans="15:15" x14ac:dyDescent="0.2">
      <c r="O87" s="1"/>
    </row>
    <row r="88" spans="15:15" x14ac:dyDescent="0.2">
      <c r="O88" s="1"/>
    </row>
    <row r="89" spans="15:15" x14ac:dyDescent="0.2">
      <c r="O89" s="1"/>
    </row>
    <row r="90" spans="15:15" x14ac:dyDescent="0.2">
      <c r="O90" s="1"/>
    </row>
    <row r="91" spans="15:15" x14ac:dyDescent="0.2">
      <c r="O91" s="1"/>
    </row>
    <row r="92" spans="15:15" x14ac:dyDescent="0.2">
      <c r="O92" s="1"/>
    </row>
    <row r="93" spans="15:15" x14ac:dyDescent="0.2">
      <c r="O93" s="1"/>
    </row>
    <row r="94" spans="15:15" x14ac:dyDescent="0.2">
      <c r="O94" s="1"/>
    </row>
    <row r="95" spans="15:15" x14ac:dyDescent="0.2">
      <c r="O95" s="1"/>
    </row>
    <row r="96" spans="15:15" x14ac:dyDescent="0.2">
      <c r="O96" s="1"/>
    </row>
    <row r="97" spans="15:15" x14ac:dyDescent="0.2">
      <c r="O97" s="1"/>
    </row>
    <row r="98" spans="15:15" x14ac:dyDescent="0.2">
      <c r="O98" s="1"/>
    </row>
    <row r="99" spans="15:15" x14ac:dyDescent="0.2">
      <c r="O99" s="1"/>
    </row>
    <row r="100" spans="15:15" x14ac:dyDescent="0.2">
      <c r="O100" s="1"/>
    </row>
    <row r="101" spans="15:15" x14ac:dyDescent="0.2">
      <c r="O101" s="1"/>
    </row>
    <row r="102" spans="15:15" x14ac:dyDescent="0.2">
      <c r="O102" s="1"/>
    </row>
    <row r="103" spans="15:15" x14ac:dyDescent="0.2">
      <c r="O103" s="1"/>
    </row>
    <row r="104" spans="15:15" x14ac:dyDescent="0.2">
      <c r="O104" s="1"/>
    </row>
    <row r="105" spans="15:15" x14ac:dyDescent="0.2">
      <c r="O105" s="1"/>
    </row>
    <row r="106" spans="15:15" x14ac:dyDescent="0.2">
      <c r="O106" s="1"/>
    </row>
    <row r="107" spans="15:15" x14ac:dyDescent="0.2">
      <c r="O107" s="1"/>
    </row>
    <row r="108" spans="15:15" x14ac:dyDescent="0.2">
      <c r="O108" s="1"/>
    </row>
    <row r="109" spans="15:15" x14ac:dyDescent="0.2">
      <c r="O109" s="1"/>
    </row>
    <row r="110" spans="15:15" x14ac:dyDescent="0.2">
      <c r="O110" s="1"/>
    </row>
    <row r="111" spans="15:15" x14ac:dyDescent="0.2">
      <c r="O111" s="1"/>
    </row>
    <row r="112" spans="15:15" x14ac:dyDescent="0.2">
      <c r="O112" s="1"/>
    </row>
    <row r="113" spans="15:15" x14ac:dyDescent="0.2">
      <c r="O113" s="1"/>
    </row>
    <row r="114" spans="15:15" x14ac:dyDescent="0.2">
      <c r="O114" s="1"/>
    </row>
    <row r="115" spans="15:15" x14ac:dyDescent="0.2">
      <c r="O115" s="1"/>
    </row>
    <row r="116" spans="15:15" x14ac:dyDescent="0.2">
      <c r="O116" s="1"/>
    </row>
    <row r="117" spans="15:15" x14ac:dyDescent="0.2">
      <c r="O117" s="1"/>
    </row>
  </sheetData>
  <phoneticPr fontId="1" type="noConversion"/>
  <conditionalFormatting sqref="L2:L44">
    <cfRule type="cellIs" dxfId="1" priority="1" operator="lessThan">
      <formula>2</formula>
    </cfRule>
    <cfRule type="cellIs" dxfId="0" priority="2" operator="greaterThan">
      <formula>50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32B47-BA1F-4A81-91E6-8601C844F213}">
  <sheetPr codeName="Sheet3"/>
  <dimension ref="A1:I117"/>
  <sheetViews>
    <sheetView zoomScale="130" zoomScaleNormal="130" workbookViewId="0">
      <selection activeCell="D2" sqref="D2:D11"/>
    </sheetView>
  </sheetViews>
  <sheetFormatPr defaultRowHeight="14.25" x14ac:dyDescent="0.2"/>
  <cols>
    <col min="1" max="1" width="14.375" customWidth="1"/>
    <col min="2" max="2" width="9.125" customWidth="1"/>
    <col min="3" max="3" width="20.625" customWidth="1"/>
    <col min="4" max="4" width="16" style="3" customWidth="1"/>
    <col min="5" max="5" width="10.5" customWidth="1"/>
    <col min="6" max="6" width="9.5" style="1" customWidth="1"/>
    <col min="9" max="9" width="14.625" bestFit="1" customWidth="1"/>
  </cols>
  <sheetData>
    <row r="1" spans="1:9" x14ac:dyDescent="0.2">
      <c r="A1" t="s">
        <v>9</v>
      </c>
      <c r="B1" t="s">
        <v>111</v>
      </c>
      <c r="C1" t="s">
        <v>1</v>
      </c>
      <c r="D1" s="3" t="s">
        <v>40</v>
      </c>
      <c r="E1" t="s">
        <v>10</v>
      </c>
      <c r="F1" s="1" t="s">
        <v>7</v>
      </c>
      <c r="G1" t="s">
        <v>8</v>
      </c>
      <c r="H1" t="s">
        <v>13</v>
      </c>
      <c r="I1" t="s">
        <v>11</v>
      </c>
    </row>
    <row r="2" spans="1:9" x14ac:dyDescent="0.2">
      <c r="A2">
        <v>1</v>
      </c>
      <c r="B2">
        <v>1</v>
      </c>
      <c r="C2" t="s">
        <v>211</v>
      </c>
      <c r="D2" s="3" t="s">
        <v>212</v>
      </c>
      <c r="E2">
        <v>30</v>
      </c>
      <c r="F2"/>
      <c r="G2" s="1">
        <f t="shared" ref="G2:G44" si="0">F2*E2</f>
        <v>0</v>
      </c>
      <c r="I2" s="4"/>
    </row>
    <row r="3" spans="1:9" x14ac:dyDescent="0.2">
      <c r="A3">
        <v>2</v>
      </c>
      <c r="B3">
        <v>2</v>
      </c>
      <c r="C3" t="s">
        <v>215</v>
      </c>
      <c r="D3" s="3" t="s">
        <v>212</v>
      </c>
      <c r="E3">
        <v>110</v>
      </c>
      <c r="F3"/>
      <c r="G3" s="1">
        <f t="shared" si="0"/>
        <v>0</v>
      </c>
      <c r="I3" s="4"/>
    </row>
    <row r="4" spans="1:9" x14ac:dyDescent="0.2">
      <c r="A4">
        <v>3</v>
      </c>
      <c r="B4">
        <v>3</v>
      </c>
      <c r="C4" t="s">
        <v>216</v>
      </c>
      <c r="D4" s="3" t="s">
        <v>218</v>
      </c>
      <c r="E4">
        <v>22</v>
      </c>
      <c r="F4"/>
      <c r="G4" s="1">
        <f t="shared" si="0"/>
        <v>0</v>
      </c>
      <c r="I4" s="4"/>
    </row>
    <row r="5" spans="1:9" x14ac:dyDescent="0.2">
      <c r="A5">
        <v>4</v>
      </c>
      <c r="B5">
        <v>4</v>
      </c>
      <c r="C5" t="s">
        <v>219</v>
      </c>
      <c r="D5" s="3" t="s">
        <v>218</v>
      </c>
      <c r="E5">
        <v>31</v>
      </c>
      <c r="F5"/>
      <c r="G5" s="1">
        <f t="shared" si="0"/>
        <v>0</v>
      </c>
      <c r="I5" s="4"/>
    </row>
    <row r="6" spans="1:9" x14ac:dyDescent="0.2">
      <c r="A6">
        <v>5</v>
      </c>
      <c r="B6">
        <v>5</v>
      </c>
      <c r="C6" t="s">
        <v>220</v>
      </c>
      <c r="D6" s="3" t="s">
        <v>218</v>
      </c>
      <c r="E6">
        <v>5</v>
      </c>
      <c r="F6"/>
      <c r="G6" s="1">
        <f t="shared" si="0"/>
        <v>0</v>
      </c>
      <c r="I6" s="4"/>
    </row>
    <row r="7" spans="1:9" x14ac:dyDescent="0.2">
      <c r="A7">
        <v>6</v>
      </c>
      <c r="B7">
        <v>6</v>
      </c>
      <c r="C7" t="s">
        <v>221</v>
      </c>
      <c r="D7" s="3" t="s">
        <v>218</v>
      </c>
      <c r="E7">
        <v>5</v>
      </c>
      <c r="F7"/>
      <c r="G7" s="1">
        <f t="shared" si="0"/>
        <v>0</v>
      </c>
      <c r="I7" s="4"/>
    </row>
    <row r="8" spans="1:9" x14ac:dyDescent="0.2">
      <c r="A8">
        <v>7</v>
      </c>
      <c r="B8">
        <v>7</v>
      </c>
      <c r="C8" t="s">
        <v>222</v>
      </c>
      <c r="D8" s="3" t="s">
        <v>217</v>
      </c>
      <c r="E8">
        <v>8</v>
      </c>
      <c r="F8"/>
      <c r="G8" s="1">
        <f t="shared" si="0"/>
        <v>0</v>
      </c>
      <c r="I8" s="4"/>
    </row>
    <row r="9" spans="1:9" x14ac:dyDescent="0.2">
      <c r="A9">
        <v>8</v>
      </c>
      <c r="B9">
        <v>8</v>
      </c>
      <c r="C9" t="s">
        <v>223</v>
      </c>
      <c r="D9" s="3" t="s">
        <v>217</v>
      </c>
      <c r="E9">
        <v>5</v>
      </c>
      <c r="F9"/>
      <c r="G9" s="1">
        <f t="shared" si="0"/>
        <v>0</v>
      </c>
      <c r="I9" s="4"/>
    </row>
    <row r="10" spans="1:9" x14ac:dyDescent="0.2">
      <c r="A10">
        <v>9</v>
      </c>
      <c r="B10">
        <v>9</v>
      </c>
      <c r="C10" t="s">
        <v>224</v>
      </c>
      <c r="D10" s="3" t="s">
        <v>217</v>
      </c>
      <c r="E10">
        <v>25</v>
      </c>
      <c r="F10"/>
      <c r="G10" s="1">
        <f t="shared" si="0"/>
        <v>0</v>
      </c>
      <c r="I10" s="4"/>
    </row>
    <row r="11" spans="1:9" x14ac:dyDescent="0.2">
      <c r="A11">
        <v>10</v>
      </c>
      <c r="B11">
        <v>10</v>
      </c>
      <c r="C11" t="s">
        <v>225</v>
      </c>
      <c r="D11" s="3" t="s">
        <v>226</v>
      </c>
      <c r="E11">
        <v>4</v>
      </c>
      <c r="F11"/>
      <c r="G11" s="1">
        <f t="shared" si="0"/>
        <v>0</v>
      </c>
      <c r="I11" s="4"/>
    </row>
    <row r="12" spans="1:9" x14ac:dyDescent="0.2">
      <c r="A12">
        <v>11</v>
      </c>
      <c r="B12">
        <v>11</v>
      </c>
      <c r="F12"/>
      <c r="G12" s="1">
        <f t="shared" si="0"/>
        <v>0</v>
      </c>
      <c r="I12" s="4"/>
    </row>
    <row r="13" spans="1:9" x14ac:dyDescent="0.2">
      <c r="A13">
        <v>12</v>
      </c>
      <c r="B13">
        <v>12</v>
      </c>
      <c r="F13"/>
      <c r="G13" s="1">
        <f t="shared" si="0"/>
        <v>0</v>
      </c>
      <c r="I13" s="4"/>
    </row>
    <row r="14" spans="1:9" x14ac:dyDescent="0.2">
      <c r="A14">
        <v>13</v>
      </c>
      <c r="B14">
        <v>13</v>
      </c>
      <c r="F14"/>
      <c r="G14" s="1">
        <f t="shared" si="0"/>
        <v>0</v>
      </c>
      <c r="I14" s="4"/>
    </row>
    <row r="15" spans="1:9" x14ac:dyDescent="0.2">
      <c r="A15">
        <v>14</v>
      </c>
      <c r="B15">
        <v>14</v>
      </c>
      <c r="F15"/>
      <c r="G15" s="1">
        <f t="shared" si="0"/>
        <v>0</v>
      </c>
      <c r="I15" s="4"/>
    </row>
    <row r="16" spans="1:9" x14ac:dyDescent="0.2">
      <c r="A16">
        <v>15</v>
      </c>
      <c r="B16">
        <v>15</v>
      </c>
      <c r="F16"/>
      <c r="G16" s="1">
        <f t="shared" si="0"/>
        <v>0</v>
      </c>
      <c r="I16" s="4"/>
    </row>
    <row r="17" spans="1:9" x14ac:dyDescent="0.2">
      <c r="A17">
        <v>16</v>
      </c>
      <c r="B17">
        <v>16</v>
      </c>
      <c r="F17"/>
      <c r="G17" s="1">
        <f t="shared" si="0"/>
        <v>0</v>
      </c>
      <c r="I17" s="4"/>
    </row>
    <row r="18" spans="1:9" x14ac:dyDescent="0.2">
      <c r="A18">
        <v>17</v>
      </c>
      <c r="B18">
        <v>17</v>
      </c>
      <c r="F18"/>
      <c r="G18" s="1">
        <f t="shared" si="0"/>
        <v>0</v>
      </c>
      <c r="I18" s="4"/>
    </row>
    <row r="19" spans="1:9" x14ac:dyDescent="0.2">
      <c r="A19">
        <v>18</v>
      </c>
      <c r="B19">
        <v>18</v>
      </c>
      <c r="F19"/>
      <c r="G19" s="1">
        <f t="shared" si="0"/>
        <v>0</v>
      </c>
      <c r="I19" s="4"/>
    </row>
    <row r="20" spans="1:9" x14ac:dyDescent="0.2">
      <c r="A20">
        <v>19</v>
      </c>
      <c r="B20">
        <v>19</v>
      </c>
      <c r="F20"/>
      <c r="G20" s="1">
        <f t="shared" si="0"/>
        <v>0</v>
      </c>
      <c r="I20" s="4"/>
    </row>
    <row r="21" spans="1:9" x14ac:dyDescent="0.2">
      <c r="A21">
        <v>20</v>
      </c>
      <c r="B21">
        <v>20</v>
      </c>
      <c r="F21"/>
      <c r="G21" s="1">
        <f t="shared" si="0"/>
        <v>0</v>
      </c>
      <c r="I21" s="4"/>
    </row>
    <row r="22" spans="1:9" x14ac:dyDescent="0.2">
      <c r="A22">
        <v>21</v>
      </c>
      <c r="B22">
        <v>21</v>
      </c>
      <c r="F22"/>
      <c r="G22" s="1">
        <f t="shared" si="0"/>
        <v>0</v>
      </c>
      <c r="I22" s="4"/>
    </row>
    <row r="23" spans="1:9" x14ac:dyDescent="0.2">
      <c r="A23">
        <v>22</v>
      </c>
      <c r="B23">
        <v>22</v>
      </c>
      <c r="F23"/>
      <c r="G23" s="1">
        <f t="shared" si="0"/>
        <v>0</v>
      </c>
      <c r="I23" s="4"/>
    </row>
    <row r="24" spans="1:9" x14ac:dyDescent="0.2">
      <c r="A24">
        <v>23</v>
      </c>
      <c r="B24">
        <v>23</v>
      </c>
      <c r="F24"/>
      <c r="G24" s="1">
        <f t="shared" si="0"/>
        <v>0</v>
      </c>
      <c r="I24" s="4"/>
    </row>
    <row r="25" spans="1:9" x14ac:dyDescent="0.2">
      <c r="A25">
        <v>24</v>
      </c>
      <c r="B25">
        <v>24</v>
      </c>
      <c r="F25"/>
      <c r="G25" s="1">
        <f t="shared" si="0"/>
        <v>0</v>
      </c>
      <c r="I25" s="4"/>
    </row>
    <row r="26" spans="1:9" x14ac:dyDescent="0.2">
      <c r="A26">
        <v>25</v>
      </c>
      <c r="B26">
        <v>25</v>
      </c>
      <c r="F26"/>
      <c r="G26" s="1">
        <f t="shared" si="0"/>
        <v>0</v>
      </c>
      <c r="I26" s="4"/>
    </row>
    <row r="27" spans="1:9" x14ac:dyDescent="0.2">
      <c r="A27">
        <v>26</v>
      </c>
      <c r="B27">
        <v>26</v>
      </c>
      <c r="F27"/>
      <c r="G27" s="1">
        <f t="shared" si="0"/>
        <v>0</v>
      </c>
      <c r="I27" s="4"/>
    </row>
    <row r="28" spans="1:9" x14ac:dyDescent="0.2">
      <c r="A28">
        <v>27</v>
      </c>
      <c r="B28">
        <v>27</v>
      </c>
      <c r="F28"/>
      <c r="G28" s="1">
        <f t="shared" si="0"/>
        <v>0</v>
      </c>
      <c r="I28" s="4"/>
    </row>
    <row r="29" spans="1:9" x14ac:dyDescent="0.2">
      <c r="A29">
        <v>28</v>
      </c>
      <c r="B29">
        <v>28</v>
      </c>
      <c r="F29"/>
      <c r="G29" s="1">
        <f t="shared" si="0"/>
        <v>0</v>
      </c>
      <c r="I29" s="4"/>
    </row>
    <row r="30" spans="1:9" x14ac:dyDescent="0.2">
      <c r="A30">
        <v>29</v>
      </c>
      <c r="B30">
        <v>29</v>
      </c>
      <c r="F30"/>
      <c r="G30" s="1">
        <f t="shared" si="0"/>
        <v>0</v>
      </c>
      <c r="I30" s="4"/>
    </row>
    <row r="31" spans="1:9" x14ac:dyDescent="0.2">
      <c r="A31">
        <v>30</v>
      </c>
      <c r="B31">
        <v>30</v>
      </c>
      <c r="F31"/>
      <c r="G31" s="1">
        <f t="shared" si="0"/>
        <v>0</v>
      </c>
      <c r="I31" s="4"/>
    </row>
    <row r="32" spans="1:9" x14ac:dyDescent="0.2">
      <c r="A32">
        <v>31</v>
      </c>
      <c r="B32">
        <v>31</v>
      </c>
      <c r="F32"/>
      <c r="G32" s="1">
        <f t="shared" si="0"/>
        <v>0</v>
      </c>
      <c r="I32" s="4"/>
    </row>
    <row r="33" spans="1:9" x14ac:dyDescent="0.2">
      <c r="A33">
        <v>32</v>
      </c>
      <c r="B33">
        <v>32</v>
      </c>
      <c r="F33"/>
      <c r="G33" s="1">
        <f t="shared" si="0"/>
        <v>0</v>
      </c>
      <c r="I33" s="4"/>
    </row>
    <row r="34" spans="1:9" x14ac:dyDescent="0.2">
      <c r="A34">
        <v>33</v>
      </c>
      <c r="B34">
        <v>33</v>
      </c>
      <c r="F34"/>
      <c r="G34" s="1">
        <f t="shared" si="0"/>
        <v>0</v>
      </c>
      <c r="I34" s="4"/>
    </row>
    <row r="35" spans="1:9" x14ac:dyDescent="0.2">
      <c r="A35">
        <v>34</v>
      </c>
      <c r="B35">
        <v>34</v>
      </c>
      <c r="F35"/>
      <c r="G35" s="1">
        <f t="shared" si="0"/>
        <v>0</v>
      </c>
    </row>
    <row r="36" spans="1:9" x14ac:dyDescent="0.2">
      <c r="A36">
        <v>35</v>
      </c>
      <c r="B36">
        <v>35</v>
      </c>
      <c r="F36"/>
      <c r="G36" s="1">
        <f t="shared" si="0"/>
        <v>0</v>
      </c>
    </row>
    <row r="37" spans="1:9" x14ac:dyDescent="0.2">
      <c r="A37">
        <v>36</v>
      </c>
      <c r="G37" s="1">
        <f t="shared" si="0"/>
        <v>0</v>
      </c>
    </row>
    <row r="38" spans="1:9" x14ac:dyDescent="0.2">
      <c r="A38">
        <v>37</v>
      </c>
      <c r="G38" s="1">
        <f t="shared" si="0"/>
        <v>0</v>
      </c>
    </row>
    <row r="39" spans="1:9" x14ac:dyDescent="0.2">
      <c r="A39">
        <v>38</v>
      </c>
      <c r="G39" s="1">
        <f t="shared" si="0"/>
        <v>0</v>
      </c>
    </row>
    <row r="40" spans="1:9" x14ac:dyDescent="0.2">
      <c r="A40">
        <v>39</v>
      </c>
      <c r="G40" s="1">
        <f t="shared" si="0"/>
        <v>0</v>
      </c>
    </row>
    <row r="41" spans="1:9" x14ac:dyDescent="0.2">
      <c r="A41">
        <v>40</v>
      </c>
      <c r="G41" s="1">
        <f t="shared" si="0"/>
        <v>0</v>
      </c>
    </row>
    <row r="42" spans="1:9" x14ac:dyDescent="0.2">
      <c r="A42">
        <v>41</v>
      </c>
      <c r="G42" s="1">
        <f t="shared" si="0"/>
        <v>0</v>
      </c>
    </row>
    <row r="43" spans="1:9" x14ac:dyDescent="0.2">
      <c r="A43">
        <v>42</v>
      </c>
      <c r="G43" s="1">
        <f t="shared" si="0"/>
        <v>0</v>
      </c>
    </row>
    <row r="44" spans="1:9" x14ac:dyDescent="0.2">
      <c r="A44">
        <v>43</v>
      </c>
      <c r="G44" s="1">
        <f t="shared" si="0"/>
        <v>0</v>
      </c>
    </row>
    <row r="45" spans="1:9" x14ac:dyDescent="0.2">
      <c r="A45">
        <v>44</v>
      </c>
      <c r="G45" s="1">
        <f t="shared" ref="G38:G65" si="1">F45*E45</f>
        <v>0</v>
      </c>
    </row>
    <row r="46" spans="1:9" x14ac:dyDescent="0.2">
      <c r="A46">
        <v>45</v>
      </c>
      <c r="G46" s="1">
        <f t="shared" si="1"/>
        <v>0</v>
      </c>
    </row>
    <row r="47" spans="1:9" x14ac:dyDescent="0.2">
      <c r="A47">
        <v>46</v>
      </c>
      <c r="G47" s="1">
        <f t="shared" si="1"/>
        <v>0</v>
      </c>
    </row>
    <row r="48" spans="1:9" x14ac:dyDescent="0.2">
      <c r="A48">
        <v>47</v>
      </c>
      <c r="G48" s="1">
        <f t="shared" si="1"/>
        <v>0</v>
      </c>
    </row>
    <row r="49" spans="1:7" x14ac:dyDescent="0.2">
      <c r="A49">
        <v>48</v>
      </c>
      <c r="G49" s="1">
        <f t="shared" si="1"/>
        <v>0</v>
      </c>
    </row>
    <row r="50" spans="1:7" x14ac:dyDescent="0.2">
      <c r="A50">
        <v>49</v>
      </c>
      <c r="G50" s="1">
        <f t="shared" si="1"/>
        <v>0</v>
      </c>
    </row>
    <row r="51" spans="1:7" x14ac:dyDescent="0.2">
      <c r="A51">
        <v>50</v>
      </c>
      <c r="G51" s="1">
        <f t="shared" si="1"/>
        <v>0</v>
      </c>
    </row>
    <row r="52" spans="1:7" x14ac:dyDescent="0.2">
      <c r="A52">
        <v>51</v>
      </c>
      <c r="G52" s="1">
        <f t="shared" si="1"/>
        <v>0</v>
      </c>
    </row>
    <row r="53" spans="1:7" x14ac:dyDescent="0.2">
      <c r="A53">
        <v>52</v>
      </c>
      <c r="G53" s="1">
        <f t="shared" si="1"/>
        <v>0</v>
      </c>
    </row>
    <row r="54" spans="1:7" x14ac:dyDescent="0.2">
      <c r="A54">
        <v>53</v>
      </c>
      <c r="G54" s="1">
        <f t="shared" si="1"/>
        <v>0</v>
      </c>
    </row>
    <row r="55" spans="1:7" x14ac:dyDescent="0.2">
      <c r="A55">
        <v>54</v>
      </c>
      <c r="G55" s="1">
        <f t="shared" si="1"/>
        <v>0</v>
      </c>
    </row>
    <row r="56" spans="1:7" x14ac:dyDescent="0.2">
      <c r="A56">
        <v>55</v>
      </c>
      <c r="G56" s="1">
        <f t="shared" si="1"/>
        <v>0</v>
      </c>
    </row>
    <row r="57" spans="1:7" x14ac:dyDescent="0.2">
      <c r="A57">
        <v>56</v>
      </c>
      <c r="G57" s="1">
        <f t="shared" si="1"/>
        <v>0</v>
      </c>
    </row>
    <row r="58" spans="1:7" x14ac:dyDescent="0.2">
      <c r="A58">
        <v>57</v>
      </c>
      <c r="G58" s="1">
        <f t="shared" si="1"/>
        <v>0</v>
      </c>
    </row>
    <row r="59" spans="1:7" x14ac:dyDescent="0.2">
      <c r="A59">
        <v>58</v>
      </c>
      <c r="G59" s="1">
        <f t="shared" si="1"/>
        <v>0</v>
      </c>
    </row>
    <row r="60" spans="1:7" x14ac:dyDescent="0.2">
      <c r="A60">
        <v>59</v>
      </c>
      <c r="G60" s="1">
        <f t="shared" si="1"/>
        <v>0</v>
      </c>
    </row>
    <row r="61" spans="1:7" x14ac:dyDescent="0.2">
      <c r="A61">
        <v>60</v>
      </c>
      <c r="G61" s="1">
        <f t="shared" si="1"/>
        <v>0</v>
      </c>
    </row>
    <row r="62" spans="1:7" x14ac:dyDescent="0.2">
      <c r="A62">
        <v>61</v>
      </c>
      <c r="G62" s="1">
        <f t="shared" si="1"/>
        <v>0</v>
      </c>
    </row>
    <row r="63" spans="1:7" x14ac:dyDescent="0.2">
      <c r="A63">
        <v>62</v>
      </c>
      <c r="G63" s="1">
        <f t="shared" si="1"/>
        <v>0</v>
      </c>
    </row>
    <row r="64" spans="1:7" x14ac:dyDescent="0.2">
      <c r="A64">
        <v>63</v>
      </c>
      <c r="G64" s="1">
        <f t="shared" si="1"/>
        <v>0</v>
      </c>
    </row>
    <row r="65" spans="1:7" x14ac:dyDescent="0.2">
      <c r="A65">
        <v>64</v>
      </c>
      <c r="G65" s="1">
        <f t="shared" si="1"/>
        <v>0</v>
      </c>
    </row>
    <row r="66" spans="1:7" x14ac:dyDescent="0.2">
      <c r="A66">
        <v>65</v>
      </c>
      <c r="G66" s="1">
        <f t="shared" ref="G66:G97" si="2">F66*E66</f>
        <v>0</v>
      </c>
    </row>
    <row r="67" spans="1:7" x14ac:dyDescent="0.2">
      <c r="A67">
        <v>66</v>
      </c>
      <c r="G67" s="1">
        <f t="shared" si="2"/>
        <v>0</v>
      </c>
    </row>
    <row r="68" spans="1:7" x14ac:dyDescent="0.2">
      <c r="A68">
        <v>67</v>
      </c>
      <c r="G68" s="1">
        <f t="shared" si="2"/>
        <v>0</v>
      </c>
    </row>
    <row r="69" spans="1:7" x14ac:dyDescent="0.2">
      <c r="A69">
        <v>68</v>
      </c>
      <c r="G69" s="1">
        <f t="shared" si="2"/>
        <v>0</v>
      </c>
    </row>
    <row r="70" spans="1:7" x14ac:dyDescent="0.2">
      <c r="A70">
        <v>69</v>
      </c>
      <c r="G70" s="1">
        <f t="shared" si="2"/>
        <v>0</v>
      </c>
    </row>
    <row r="71" spans="1:7" x14ac:dyDescent="0.2">
      <c r="A71">
        <v>70</v>
      </c>
      <c r="G71" s="1">
        <f t="shared" si="2"/>
        <v>0</v>
      </c>
    </row>
    <row r="72" spans="1:7" x14ac:dyDescent="0.2">
      <c r="A72">
        <v>71</v>
      </c>
      <c r="G72" s="1">
        <f t="shared" si="2"/>
        <v>0</v>
      </c>
    </row>
    <row r="73" spans="1:7" x14ac:dyDescent="0.2">
      <c r="A73">
        <v>72</v>
      </c>
      <c r="G73" s="1">
        <f t="shared" si="2"/>
        <v>0</v>
      </c>
    </row>
    <row r="74" spans="1:7" x14ac:dyDescent="0.2">
      <c r="A74">
        <v>73</v>
      </c>
      <c r="G74" s="1">
        <f t="shared" si="2"/>
        <v>0</v>
      </c>
    </row>
    <row r="75" spans="1:7" x14ac:dyDescent="0.2">
      <c r="A75">
        <v>74</v>
      </c>
      <c r="G75" s="1">
        <f t="shared" si="2"/>
        <v>0</v>
      </c>
    </row>
    <row r="76" spans="1:7" x14ac:dyDescent="0.2">
      <c r="A76">
        <v>75</v>
      </c>
      <c r="G76" s="1">
        <f t="shared" si="2"/>
        <v>0</v>
      </c>
    </row>
    <row r="77" spans="1:7" x14ac:dyDescent="0.2">
      <c r="A77">
        <v>76</v>
      </c>
      <c r="G77" s="1">
        <f t="shared" si="2"/>
        <v>0</v>
      </c>
    </row>
    <row r="78" spans="1:7" x14ac:dyDescent="0.2">
      <c r="A78">
        <v>77</v>
      </c>
      <c r="G78" s="1">
        <f t="shared" si="2"/>
        <v>0</v>
      </c>
    </row>
    <row r="79" spans="1:7" x14ac:dyDescent="0.2">
      <c r="A79">
        <v>78</v>
      </c>
      <c r="G79" s="1">
        <f t="shared" si="2"/>
        <v>0</v>
      </c>
    </row>
    <row r="80" spans="1:7" x14ac:dyDescent="0.2">
      <c r="A80">
        <v>79</v>
      </c>
      <c r="G80" s="1">
        <f t="shared" si="2"/>
        <v>0</v>
      </c>
    </row>
    <row r="81" spans="1:7" x14ac:dyDescent="0.2">
      <c r="A81">
        <v>80</v>
      </c>
      <c r="G81" s="1">
        <f t="shared" si="2"/>
        <v>0</v>
      </c>
    </row>
    <row r="82" spans="1:7" x14ac:dyDescent="0.2">
      <c r="A82">
        <v>81</v>
      </c>
      <c r="G82" s="1">
        <f t="shared" si="2"/>
        <v>0</v>
      </c>
    </row>
    <row r="83" spans="1:7" x14ac:dyDescent="0.2">
      <c r="A83">
        <v>82</v>
      </c>
      <c r="G83" s="1">
        <f t="shared" si="2"/>
        <v>0</v>
      </c>
    </row>
    <row r="84" spans="1:7" x14ac:dyDescent="0.2">
      <c r="A84">
        <v>83</v>
      </c>
      <c r="G84" s="1">
        <f t="shared" si="2"/>
        <v>0</v>
      </c>
    </row>
    <row r="85" spans="1:7" x14ac:dyDescent="0.2">
      <c r="A85">
        <v>84</v>
      </c>
      <c r="G85" s="1">
        <f t="shared" si="2"/>
        <v>0</v>
      </c>
    </row>
    <row r="86" spans="1:7" x14ac:dyDescent="0.2">
      <c r="A86">
        <v>85</v>
      </c>
      <c r="G86" s="1">
        <f t="shared" si="2"/>
        <v>0</v>
      </c>
    </row>
    <row r="87" spans="1:7" x14ac:dyDescent="0.2">
      <c r="A87">
        <v>86</v>
      </c>
      <c r="G87" s="1">
        <f t="shared" si="2"/>
        <v>0</v>
      </c>
    </row>
    <row r="88" spans="1:7" x14ac:dyDescent="0.2">
      <c r="A88">
        <v>87</v>
      </c>
      <c r="G88" s="1">
        <f t="shared" si="2"/>
        <v>0</v>
      </c>
    </row>
    <row r="89" spans="1:7" x14ac:dyDescent="0.2">
      <c r="A89">
        <v>88</v>
      </c>
      <c r="G89" s="1">
        <f t="shared" si="2"/>
        <v>0</v>
      </c>
    </row>
    <row r="90" spans="1:7" x14ac:dyDescent="0.2">
      <c r="A90">
        <v>89</v>
      </c>
      <c r="G90" s="1">
        <f t="shared" si="2"/>
        <v>0</v>
      </c>
    </row>
    <row r="91" spans="1:7" x14ac:dyDescent="0.2">
      <c r="A91">
        <v>90</v>
      </c>
      <c r="G91" s="1">
        <f t="shared" si="2"/>
        <v>0</v>
      </c>
    </row>
    <row r="92" spans="1:7" x14ac:dyDescent="0.2">
      <c r="A92">
        <v>91</v>
      </c>
      <c r="G92" s="1">
        <f t="shared" si="2"/>
        <v>0</v>
      </c>
    </row>
    <row r="93" spans="1:7" x14ac:dyDescent="0.2">
      <c r="A93">
        <v>92</v>
      </c>
      <c r="G93" s="1">
        <f t="shared" si="2"/>
        <v>0</v>
      </c>
    </row>
    <row r="94" spans="1:7" x14ac:dyDescent="0.2">
      <c r="A94">
        <v>93</v>
      </c>
      <c r="G94" s="1">
        <f t="shared" si="2"/>
        <v>0</v>
      </c>
    </row>
    <row r="95" spans="1:7" x14ac:dyDescent="0.2">
      <c r="A95">
        <v>94</v>
      </c>
      <c r="G95" s="1">
        <f t="shared" si="2"/>
        <v>0</v>
      </c>
    </row>
    <row r="96" spans="1:7" x14ac:dyDescent="0.2">
      <c r="A96">
        <v>95</v>
      </c>
      <c r="G96" s="1">
        <f t="shared" si="2"/>
        <v>0</v>
      </c>
    </row>
    <row r="97" spans="1:7" x14ac:dyDescent="0.2">
      <c r="A97">
        <v>96</v>
      </c>
      <c r="G97" s="1">
        <f t="shared" si="2"/>
        <v>0</v>
      </c>
    </row>
    <row r="98" spans="1:7" x14ac:dyDescent="0.2">
      <c r="A98">
        <v>97</v>
      </c>
      <c r="G98" s="1">
        <f t="shared" ref="G98:G117" si="3">F98*E98</f>
        <v>0</v>
      </c>
    </row>
    <row r="99" spans="1:7" x14ac:dyDescent="0.2">
      <c r="A99">
        <v>98</v>
      </c>
      <c r="G99" s="1">
        <f t="shared" si="3"/>
        <v>0</v>
      </c>
    </row>
    <row r="100" spans="1:7" x14ac:dyDescent="0.2">
      <c r="A100">
        <v>99</v>
      </c>
      <c r="G100" s="1">
        <f t="shared" si="3"/>
        <v>0</v>
      </c>
    </row>
    <row r="101" spans="1:7" x14ac:dyDescent="0.2">
      <c r="A101">
        <v>100</v>
      </c>
      <c r="G101" s="1">
        <f t="shared" si="3"/>
        <v>0</v>
      </c>
    </row>
    <row r="102" spans="1:7" x14ac:dyDescent="0.2">
      <c r="A102">
        <v>101</v>
      </c>
      <c r="G102" s="1">
        <f t="shared" si="3"/>
        <v>0</v>
      </c>
    </row>
    <row r="103" spans="1:7" x14ac:dyDescent="0.2">
      <c r="A103">
        <v>102</v>
      </c>
      <c r="G103" s="1">
        <f t="shared" si="3"/>
        <v>0</v>
      </c>
    </row>
    <row r="104" spans="1:7" x14ac:dyDescent="0.2">
      <c r="A104">
        <v>103</v>
      </c>
      <c r="G104" s="1">
        <f t="shared" si="3"/>
        <v>0</v>
      </c>
    </row>
    <row r="105" spans="1:7" x14ac:dyDescent="0.2">
      <c r="A105">
        <v>104</v>
      </c>
      <c r="G105" s="1">
        <f t="shared" si="3"/>
        <v>0</v>
      </c>
    </row>
    <row r="106" spans="1:7" x14ac:dyDescent="0.2">
      <c r="A106">
        <v>105</v>
      </c>
      <c r="G106" s="1">
        <f t="shared" si="3"/>
        <v>0</v>
      </c>
    </row>
    <row r="107" spans="1:7" x14ac:dyDescent="0.2">
      <c r="A107">
        <v>106</v>
      </c>
      <c r="G107" s="1">
        <f t="shared" si="3"/>
        <v>0</v>
      </c>
    </row>
    <row r="108" spans="1:7" x14ac:dyDescent="0.2">
      <c r="A108">
        <v>107</v>
      </c>
      <c r="G108" s="1">
        <f t="shared" si="3"/>
        <v>0</v>
      </c>
    </row>
    <row r="109" spans="1:7" x14ac:dyDescent="0.2">
      <c r="A109">
        <v>108</v>
      </c>
      <c r="G109" s="1">
        <f t="shared" si="3"/>
        <v>0</v>
      </c>
    </row>
    <row r="110" spans="1:7" x14ac:dyDescent="0.2">
      <c r="A110">
        <v>109</v>
      </c>
      <c r="G110" s="1">
        <f t="shared" si="3"/>
        <v>0</v>
      </c>
    </row>
    <row r="111" spans="1:7" x14ac:dyDescent="0.2">
      <c r="A111">
        <v>110</v>
      </c>
      <c r="G111" s="1">
        <f t="shared" si="3"/>
        <v>0</v>
      </c>
    </row>
    <row r="112" spans="1:7" x14ac:dyDescent="0.2">
      <c r="A112">
        <v>111</v>
      </c>
      <c r="G112" s="1">
        <f t="shared" si="3"/>
        <v>0</v>
      </c>
    </row>
    <row r="113" spans="1:7" x14ac:dyDescent="0.2">
      <c r="A113">
        <v>112</v>
      </c>
      <c r="G113" s="1">
        <f t="shared" si="3"/>
        <v>0</v>
      </c>
    </row>
    <row r="114" spans="1:7" x14ac:dyDescent="0.2">
      <c r="A114">
        <v>113</v>
      </c>
      <c r="G114" s="1">
        <f t="shared" si="3"/>
        <v>0</v>
      </c>
    </row>
    <row r="115" spans="1:7" x14ac:dyDescent="0.2">
      <c r="A115">
        <v>114</v>
      </c>
      <c r="G115" s="1">
        <f t="shared" si="3"/>
        <v>0</v>
      </c>
    </row>
    <row r="116" spans="1:7" x14ac:dyDescent="0.2">
      <c r="A116">
        <v>115</v>
      </c>
      <c r="G116" s="1">
        <f t="shared" si="3"/>
        <v>0</v>
      </c>
    </row>
    <row r="117" spans="1:7" x14ac:dyDescent="0.2">
      <c r="A117">
        <v>116</v>
      </c>
      <c r="G117" s="1">
        <f t="shared" si="3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A2099-B297-453A-8C84-46113E8D3C75}">
  <sheetPr codeName="Sheet4"/>
  <dimension ref="A1:G26"/>
  <sheetViews>
    <sheetView zoomScale="160" zoomScaleNormal="160" workbookViewId="0">
      <selection activeCell="C27" sqref="C27"/>
    </sheetView>
  </sheetViews>
  <sheetFormatPr defaultRowHeight="14.25" x14ac:dyDescent="0.2"/>
  <cols>
    <col min="1" max="1" width="14.375" customWidth="1"/>
    <col min="2" max="2" width="9.125" customWidth="1"/>
    <col min="3" max="3" width="20.625" customWidth="1"/>
    <col min="4" max="4" width="16" style="3" customWidth="1"/>
    <col min="5" max="5" width="10.5" customWidth="1"/>
    <col min="6" max="6" width="14.625" bestFit="1" customWidth="1"/>
    <col min="7" max="7" width="23.125" customWidth="1"/>
  </cols>
  <sheetData>
    <row r="1" spans="1:7" x14ac:dyDescent="0.2">
      <c r="A1" t="s">
        <v>112</v>
      </c>
      <c r="B1" t="s">
        <v>111</v>
      </c>
      <c r="C1" t="s">
        <v>1</v>
      </c>
      <c r="D1" s="3" t="s">
        <v>40</v>
      </c>
      <c r="E1" t="s">
        <v>113</v>
      </c>
      <c r="F1" t="s">
        <v>12</v>
      </c>
      <c r="G1" t="s">
        <v>114</v>
      </c>
    </row>
    <row r="2" spans="1:7" x14ac:dyDescent="0.2">
      <c r="A2">
        <v>1</v>
      </c>
      <c r="F2" s="4"/>
    </row>
    <row r="3" spans="1:7" x14ac:dyDescent="0.2">
      <c r="A3">
        <v>2</v>
      </c>
      <c r="F3" s="4"/>
    </row>
    <row r="4" spans="1:7" x14ac:dyDescent="0.2">
      <c r="A4">
        <v>3</v>
      </c>
      <c r="F4" s="4"/>
    </row>
    <row r="5" spans="1:7" x14ac:dyDescent="0.2">
      <c r="A5">
        <v>4</v>
      </c>
      <c r="F5" s="4"/>
    </row>
    <row r="6" spans="1:7" x14ac:dyDescent="0.2">
      <c r="A6">
        <v>5</v>
      </c>
      <c r="F6" s="4"/>
    </row>
    <row r="7" spans="1:7" x14ac:dyDescent="0.2">
      <c r="A7">
        <v>6</v>
      </c>
      <c r="F7" s="4"/>
    </row>
    <row r="8" spans="1:7" x14ac:dyDescent="0.2">
      <c r="A8">
        <v>7</v>
      </c>
      <c r="F8" s="4"/>
    </row>
    <row r="9" spans="1:7" x14ac:dyDescent="0.2">
      <c r="A9">
        <v>8</v>
      </c>
      <c r="F9" s="4"/>
    </row>
    <row r="10" spans="1:7" x14ac:dyDescent="0.2">
      <c r="A10">
        <v>9</v>
      </c>
      <c r="F10" s="4"/>
    </row>
    <row r="11" spans="1:7" x14ac:dyDescent="0.2">
      <c r="A11">
        <v>10</v>
      </c>
      <c r="F11" s="4"/>
    </row>
    <row r="12" spans="1:7" x14ac:dyDescent="0.2">
      <c r="A12">
        <v>11</v>
      </c>
      <c r="F12" s="4"/>
    </row>
    <row r="13" spans="1:7" x14ac:dyDescent="0.2">
      <c r="A13">
        <v>12</v>
      </c>
      <c r="F13" s="4"/>
    </row>
    <row r="14" spans="1:7" x14ac:dyDescent="0.2">
      <c r="A14">
        <v>13</v>
      </c>
      <c r="F14" s="4"/>
    </row>
    <row r="15" spans="1:7" x14ac:dyDescent="0.2">
      <c r="A15">
        <v>14</v>
      </c>
      <c r="F15" s="4"/>
    </row>
    <row r="16" spans="1:7" x14ac:dyDescent="0.2">
      <c r="A16">
        <v>15</v>
      </c>
      <c r="F16" s="4"/>
    </row>
    <row r="17" spans="1:6" x14ac:dyDescent="0.2">
      <c r="A17">
        <v>16</v>
      </c>
      <c r="F17" s="4"/>
    </row>
    <row r="18" spans="1:6" x14ac:dyDescent="0.2">
      <c r="A18">
        <v>17</v>
      </c>
      <c r="F18" s="4"/>
    </row>
    <row r="19" spans="1:6" x14ac:dyDescent="0.2">
      <c r="F19" s="4"/>
    </row>
    <row r="20" spans="1:6" x14ac:dyDescent="0.2">
      <c r="F20" s="4"/>
    </row>
    <row r="21" spans="1:6" x14ac:dyDescent="0.2">
      <c r="F21" s="4"/>
    </row>
    <row r="22" spans="1:6" x14ac:dyDescent="0.2">
      <c r="F22" s="4"/>
    </row>
    <row r="23" spans="1:6" x14ac:dyDescent="0.2">
      <c r="F23" s="4"/>
    </row>
    <row r="24" spans="1:6" x14ac:dyDescent="0.2">
      <c r="F24" s="4"/>
    </row>
    <row r="25" spans="1:6" x14ac:dyDescent="0.2">
      <c r="F25" s="4"/>
    </row>
    <row r="26" spans="1:6" x14ac:dyDescent="0.2">
      <c r="F26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</vt:i4>
      </vt:variant>
    </vt:vector>
  </HeadingPairs>
  <TitlesOfParts>
    <vt:vector size="7" baseType="lpstr">
      <vt:lpstr>库存查询表</vt:lpstr>
      <vt:lpstr>现有库存表</vt:lpstr>
      <vt:lpstr>入库序列</vt:lpstr>
      <vt:lpstr>出库序列</vt:lpstr>
      <vt:lpstr>库存查询表!Criteria</vt:lpstr>
      <vt:lpstr>库存查询表!提取</vt:lpstr>
      <vt:lpstr>现有库存表!提取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Kung</dc:creator>
  <cp:lastModifiedBy>Oliver Kung</cp:lastModifiedBy>
  <dcterms:created xsi:type="dcterms:W3CDTF">2020-06-17T14:57:44Z</dcterms:created>
  <dcterms:modified xsi:type="dcterms:W3CDTF">2020-08-23T02:51:12Z</dcterms:modified>
</cp:coreProperties>
</file>